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 ESTRATEGICO DE SEGURIDAD VIAL ING HEIDY\PASO 20 INDICADORES\2026\"/>
    </mc:Choice>
  </mc:AlternateContent>
  <xr:revisionPtr revIDLastSave="0" documentId="13_ncr:1_{04932EA8-C99C-47B8-8D09-ACC1A38F2E93}" xr6:coauthVersionLast="47" xr6:coauthVersionMax="47" xr10:uidLastSave="{00000000-0000-0000-0000-000000000000}"/>
  <bookViews>
    <workbookView xWindow="-110" yWindow="-110" windowWidth="19420" windowHeight="10300" activeTab="2" xr2:uid="{2260697D-ACEA-49EA-A92D-D14792DAAB29}"/>
  </bookViews>
  <sheets>
    <sheet name="GSM 875" sheetId="1" r:id="rId1"/>
    <sheet name="OQF240" sheetId="2" r:id="rId2"/>
    <sheet name="UVM365" sheetId="3" r:id="rId3"/>
    <sheet name="HCQ911" sheetId="4" r:id="rId4"/>
    <sheet name="SKB422" sheetId="5" r:id="rId5"/>
    <sheet name="Hoja6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F4" i="6"/>
  <c r="E4" i="6"/>
  <c r="D4" i="6"/>
  <c r="C4" i="6"/>
  <c r="E17" i="1"/>
  <c r="I4" i="6" l="1"/>
  <c r="E21" i="1"/>
  <c r="E15" i="1"/>
  <c r="E21" i="5" l="1"/>
  <c r="E20" i="5"/>
  <c r="E19" i="5"/>
  <c r="E18" i="5"/>
  <c r="E17" i="5"/>
  <c r="E16" i="5"/>
  <c r="E15" i="5"/>
  <c r="E14" i="5"/>
  <c r="E13" i="5"/>
  <c r="E12" i="5"/>
  <c r="E11" i="5"/>
  <c r="G10" i="5"/>
  <c r="F10" i="5"/>
  <c r="E10" i="5"/>
  <c r="E21" i="4"/>
  <c r="E20" i="4"/>
  <c r="E19" i="4"/>
  <c r="E18" i="4"/>
  <c r="E17" i="4"/>
  <c r="E16" i="4"/>
  <c r="E15" i="4"/>
  <c r="E14" i="4"/>
  <c r="E13" i="4"/>
  <c r="E12" i="4"/>
  <c r="E11" i="4"/>
  <c r="G10" i="4"/>
  <c r="F10" i="4"/>
  <c r="E10" i="4"/>
  <c r="E21" i="3"/>
  <c r="E20" i="3"/>
  <c r="E19" i="3"/>
  <c r="E18" i="3"/>
  <c r="E17" i="3"/>
  <c r="E16" i="3"/>
  <c r="E15" i="3"/>
  <c r="E14" i="3"/>
  <c r="E13" i="3"/>
  <c r="E12" i="3"/>
  <c r="E11" i="3"/>
  <c r="G10" i="3"/>
  <c r="F10" i="3"/>
  <c r="E10" i="3"/>
  <c r="E21" i="2"/>
  <c r="E20" i="2"/>
  <c r="E19" i="2"/>
  <c r="E18" i="2"/>
  <c r="E17" i="2"/>
  <c r="E16" i="2"/>
  <c r="E15" i="2"/>
  <c r="E14" i="2"/>
  <c r="E13" i="2"/>
  <c r="E12" i="2"/>
  <c r="E11" i="2"/>
  <c r="G10" i="2"/>
  <c r="F10" i="2"/>
  <c r="E10" i="2"/>
  <c r="E20" i="1"/>
  <c r="E19" i="1"/>
  <c r="E18" i="1"/>
  <c r="E16" i="1"/>
  <c r="E14" i="1"/>
  <c r="E13" i="1"/>
  <c r="E12" i="1"/>
  <c r="E11" i="1"/>
  <c r="G10" i="1"/>
  <c r="F10" i="1"/>
  <c r="E10" i="1"/>
  <c r="H10" i="5" l="1"/>
  <c r="H10" i="4"/>
  <c r="H10" i="3"/>
  <c r="H10" i="2"/>
  <c r="H10" i="1"/>
</calcChain>
</file>

<file path=xl/sharedStrings.xml><?xml version="1.0" encoding="utf-8"?>
<sst xmlns="http://schemas.openxmlformats.org/spreadsheetml/2006/main" count="278" uniqueCount="61">
  <si>
    <t>SISTEMAS INTEGRADOS DE GESTIÓN</t>
  </si>
  <si>
    <t>CÓDIGO: SIG.FT-57</t>
  </si>
  <si>
    <t>VERSIÓN: 02</t>
  </si>
  <si>
    <t>INDICADORES PESV</t>
  </si>
  <si>
    <t>FECHA: 22/07/2025</t>
  </si>
  <si>
    <t>NOMBRE INDICADOR:</t>
  </si>
  <si>
    <t>PERIODO DE MEDICIÓN:</t>
  </si>
  <si>
    <t xml:space="preserve">FRECUENCIA: </t>
  </si>
  <si>
    <t>FÓRMULA:</t>
  </si>
  <si>
    <t>META</t>
  </si>
  <si>
    <t>EXCESOS DEL LÍMITE DE VELOCIDAD LABORAL
(ELVL)</t>
  </si>
  <si>
    <t>MENSUAL Y ANUAL</t>
  </si>
  <si>
    <t>Mantener el porcentaje de excesos de velocidad laboral por debajo del 5% durante el período anual</t>
  </si>
  <si>
    <t>DATOS</t>
  </si>
  <si>
    <t>GRÁFICA</t>
  </si>
  <si>
    <t>Mes</t>
  </si>
  <si>
    <t>Desplazamientos laborales (Km totales recorridos por Vehículo)</t>
  </si>
  <si>
    <t>Desplazamientos con excesos (Km de exceso por Vehículo)</t>
  </si>
  <si>
    <t>% ELVL MENSUAL POR VEHÍCULO</t>
  </si>
  <si>
    <t>Desplazamientos laborales acumulados en el año</t>
  </si>
  <si>
    <t>Desplazamientos con excesos acumulados en el año</t>
  </si>
  <si>
    <t>% ELVL ANUAL POR VEHÍCULO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</si>
  <si>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</si>
  <si>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</si>
  <si>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</si>
  <si>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</si>
  <si>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</si>
  <si>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</si>
  <si>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</si>
  <si>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</si>
  <si>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</si>
  <si>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</si>
  <si>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</si>
  <si>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</si>
  <si>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ANÁLISIS DE DATOS</t>
  </si>
  <si>
    <t>Se cumplió con la meta:</t>
  </si>
  <si>
    <t>SI ____</t>
  </si>
  <si>
    <t>NO ____</t>
  </si>
  <si>
    <t>Requiere implementar acción?</t>
  </si>
  <si>
    <r>
      <t>NO __</t>
    </r>
    <r>
      <rPr>
        <u/>
        <sz val="10"/>
        <rFont val="Arial"/>
        <family val="2"/>
      </rPr>
      <t>X</t>
    </r>
    <r>
      <rPr>
        <sz val="10"/>
        <rFont val="Arial"/>
        <family val="2"/>
      </rPr>
      <t>__</t>
    </r>
  </si>
  <si>
    <t>Tipo de acción:</t>
  </si>
  <si>
    <t>AC ____</t>
  </si>
  <si>
    <t>AP ____</t>
  </si>
  <si>
    <t>No ACCIÓN</t>
  </si>
  <si>
    <t>RESPONSABLE</t>
  </si>
  <si>
    <t>VISTO BUENO GERENCIA</t>
  </si>
  <si>
    <t>Nombre:</t>
  </si>
  <si>
    <t>Firma:</t>
  </si>
  <si>
    <t>Firma</t>
  </si>
  <si>
    <t>Cargo:</t>
  </si>
  <si>
    <t>Fecha:</t>
  </si>
  <si>
    <t>Fecha</t>
  </si>
  <si>
    <t>Total KM</t>
  </si>
  <si>
    <t>GSM875</t>
  </si>
  <si>
    <t>UVM 365</t>
  </si>
  <si>
    <t>HCQ 911</t>
  </si>
  <si>
    <t>SKB 422</t>
  </si>
  <si>
    <t>ACUMULADO</t>
  </si>
  <si>
    <t>TOTAL</t>
  </si>
  <si>
    <t>KM</t>
  </si>
  <si>
    <t>OQF240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</si>
</sst>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37">
    <xf numFmtId="0" fontId="0" fillId="0" borderId="0" xfId="0"/>
    <xf numFmtId="0" fontId="2" fillId="0" borderId="1" xfId="2" applyBorder="1"/>
    <xf numFmtId="0" fontId="3" fillId="2" borderId="2" xfId="2" applyFont="1" applyFill="1" applyBorder="1" applyAlignment="1">
      <alignment vertical="center"/>
    </xf>
    <xf numFmtId="0" fontId="3" fillId="2" borderId="3" xfId="2" applyFont="1" applyFill="1" applyBorder="1" applyAlignment="1">
      <alignment vertical="center"/>
    </xf>
    <xf numFmtId="0" fontId="2" fillId="2" borderId="0" xfId="2" applyFill="1"/>
    <xf numFmtId="0" fontId="2" fillId="0" borderId="0" xfId="2"/>
    <xf numFmtId="0" fontId="2" fillId="0" borderId="4" xfId="2" applyBorder="1"/>
    <xf numFmtId="0" fontId="2" fillId="2" borderId="5" xfId="2" applyFill="1" applyBorder="1" applyAlignment="1">
      <alignment horizontal="left" vertical="center" wrapText="1"/>
    </xf>
    <xf numFmtId="0" fontId="3" fillId="2" borderId="6" xfId="2" applyFont="1" applyFill="1" applyBorder="1" applyAlignment="1">
      <alignment vertical="center"/>
    </xf>
    <xf numFmtId="0" fontId="2" fillId="2" borderId="4" xfId="2" applyFill="1" applyBorder="1"/>
    <xf numFmtId="0" fontId="2" fillId="2" borderId="6" xfId="2" applyFill="1" applyBorder="1"/>
    <xf numFmtId="0" fontId="5" fillId="2" borderId="4" xfId="2" applyFont="1" applyFill="1" applyBorder="1" applyAlignment="1">
      <alignment vertical="center"/>
    </xf>
    <xf numFmtId="0" fontId="2" fillId="0" borderId="5" xfId="2" applyBorder="1" applyAlignment="1">
      <alignment horizontal="left" vertical="center" wrapText="1"/>
    </xf>
    <xf numFmtId="0" fontId="2" fillId="2" borderId="6" xfId="2" applyFill="1" applyBorder="1" applyAlignment="1">
      <alignment vertical="center"/>
    </xf>
    <xf numFmtId="0" fontId="2" fillId="2" borderId="0" xfId="2" applyFill="1" applyAlignment="1">
      <alignment vertical="center"/>
    </xf>
    <xf numFmtId="0" fontId="2" fillId="2" borderId="4" xfId="2" applyFill="1" applyBorder="1" applyAlignment="1">
      <alignment vertical="center"/>
    </xf>
    <xf numFmtId="0" fontId="5" fillId="2" borderId="5" xfId="2" applyFont="1" applyFill="1" applyBorder="1" applyAlignment="1">
      <alignment horizontal="center"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6" fillId="2" borderId="0" xfId="2" applyFont="1" applyFill="1" applyAlignment="1">
      <alignment horizontal="right" vertical="center"/>
    </xf>
    <xf numFmtId="0" fontId="2" fillId="2" borderId="0" xfId="2" applyFill="1" applyAlignment="1">
      <alignment horizontal="center" vertical="center"/>
    </xf>
    <xf numFmtId="164" fontId="2" fillId="2" borderId="0" xfId="2" applyNumberFormat="1" applyFill="1" applyAlignment="1">
      <alignment horizontal="center" vertical="center"/>
    </xf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10" fontId="6" fillId="0" borderId="8" xfId="2" applyNumberFormat="1" applyFont="1" applyBorder="1" applyAlignment="1">
      <alignment horizontal="center" vertical="center" wrapText="1"/>
    </xf>
    <xf numFmtId="10" fontId="6" fillId="0" borderId="9" xfId="2" applyNumberFormat="1" applyFont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2" fillId="2" borderId="2" xfId="2" applyFill="1" applyBorder="1" applyAlignment="1">
      <alignment horizontal="center" vertical="center"/>
    </xf>
    <xf numFmtId="0" fontId="2" fillId="2" borderId="2" xfId="2" applyFill="1" applyBorder="1" applyAlignment="1">
      <alignment vertical="center"/>
    </xf>
    <xf numFmtId="0" fontId="2" fillId="2" borderId="3" xfId="2" applyFill="1" applyBorder="1" applyAlignment="1">
      <alignment vertical="center"/>
    </xf>
    <xf numFmtId="0" fontId="7" fillId="0" borderId="0" xfId="2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8" fillId="2" borderId="4" xfId="2" applyFont="1" applyFill="1" applyBorder="1" applyAlignment="1">
      <alignment vertical="center"/>
    </xf>
    <xf numFmtId="17" fontId="2" fillId="0" borderId="11" xfId="2" applyNumberFormat="1" applyBorder="1" applyAlignment="1">
      <alignment horizontal="center" vertical="center" wrapText="1"/>
    </xf>
    <xf numFmtId="1" fontId="9" fillId="0" borderId="5" xfId="2" applyNumberFormat="1" applyFont="1" applyBorder="1" applyAlignment="1">
      <alignment horizontal="center" vertical="center" wrapText="1"/>
    </xf>
    <xf numFmtId="1" fontId="9" fillId="2" borderId="5" xfId="2" applyNumberFormat="1" applyFont="1" applyFill="1" applyBorder="1" applyAlignment="1">
      <alignment horizontal="center" vertical="center"/>
    </xf>
    <xf numFmtId="9" fontId="2" fillId="0" borderId="5" xfId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vertical="center"/>
    </xf>
    <xf numFmtId="0" fontId="8" fillId="2" borderId="6" xfId="2" applyFont="1" applyFill="1" applyBorder="1" applyAlignment="1">
      <alignment vertical="center"/>
    </xf>
    <xf numFmtId="1" fontId="7" fillId="0" borderId="0" xfId="2" applyNumberFormat="1" applyFont="1"/>
    <xf numFmtId="1" fontId="2" fillId="2" borderId="5" xfId="3" applyNumberFormat="1" applyFont="1" applyFill="1" applyBorder="1" applyAlignment="1">
      <alignment horizontal="center" vertical="center"/>
    </xf>
    <xf numFmtId="165" fontId="7" fillId="0" borderId="0" xfId="2" applyNumberFormat="1" applyFont="1"/>
    <xf numFmtId="9" fontId="10" fillId="2" borderId="0" xfId="2" applyNumberFormat="1" applyFont="1" applyFill="1" applyAlignment="1">
      <alignment horizontal="center" vertical="center"/>
    </xf>
    <xf numFmtId="17" fontId="2" fillId="0" borderId="16" xfId="2" applyNumberFormat="1" applyBorder="1" applyAlignment="1">
      <alignment horizontal="center" vertical="center" wrapText="1"/>
    </xf>
    <xf numFmtId="1" fontId="9" fillId="0" borderId="17" xfId="2" applyNumberFormat="1" applyFont="1" applyBorder="1" applyAlignment="1">
      <alignment horizontal="center" vertical="center" wrapText="1"/>
    </xf>
    <xf numFmtId="1" fontId="9" fillId="2" borderId="17" xfId="2" applyNumberFormat="1" applyFont="1" applyFill="1" applyBorder="1" applyAlignment="1">
      <alignment horizontal="center" vertical="center"/>
    </xf>
    <xf numFmtId="9" fontId="2" fillId="0" borderId="17" xfId="1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/>
    </xf>
    <xf numFmtId="0" fontId="10" fillId="2" borderId="21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right" vertical="center"/>
    </xf>
    <xf numFmtId="0" fontId="2" fillId="2" borderId="21" xfId="2" applyFill="1" applyBorder="1" applyAlignment="1">
      <alignment horizontal="center" vertical="center"/>
    </xf>
    <xf numFmtId="0" fontId="8" fillId="2" borderId="21" xfId="2" applyFont="1" applyFill="1" applyBorder="1" applyAlignment="1">
      <alignment vertical="center"/>
    </xf>
    <xf numFmtId="0" fontId="8" fillId="2" borderId="22" xfId="2" applyFont="1" applyFill="1" applyBorder="1" applyAlignment="1">
      <alignment vertical="center"/>
    </xf>
    <xf numFmtId="0" fontId="11" fillId="2" borderId="0" xfId="2" applyFont="1" applyFill="1" applyAlignment="1">
      <alignment horizontal="center" vertical="center"/>
    </xf>
    <xf numFmtId="9" fontId="5" fillId="2" borderId="0" xfId="2" applyNumberFormat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4" fontId="8" fillId="2" borderId="0" xfId="3" applyNumberFormat="1" applyFont="1" applyFill="1" applyBorder="1" applyAlignment="1">
      <alignment horizontal="center" vertical="center"/>
    </xf>
    <xf numFmtId="0" fontId="2" fillId="2" borderId="26" xfId="2" applyFill="1" applyBorder="1" applyAlignment="1">
      <alignment vertical="center"/>
    </xf>
    <xf numFmtId="0" fontId="2" fillId="2" borderId="26" xfId="2" applyFill="1" applyBorder="1" applyAlignment="1">
      <alignment horizontal="center" vertical="center"/>
    </xf>
    <xf numFmtId="0" fontId="2" fillId="0" borderId="0" xfId="2" applyAlignment="1">
      <alignment horizontal="left"/>
    </xf>
    <xf numFmtId="0" fontId="2" fillId="2" borderId="0" xfId="2" applyFill="1" applyAlignment="1">
      <alignment horizontal="left" vertical="center"/>
    </xf>
    <xf numFmtId="0" fontId="2" fillId="2" borderId="0" xfId="2" applyFill="1" applyAlignment="1">
      <alignment horizontal="right" vertical="center"/>
    </xf>
    <xf numFmtId="49" fontId="9" fillId="2" borderId="27" xfId="2" applyNumberFormat="1" applyFont="1" applyFill="1" applyBorder="1" applyAlignment="1">
      <alignment vertical="center"/>
    </xf>
    <xf numFmtId="0" fontId="2" fillId="2" borderId="4" xfId="2" applyFill="1" applyBorder="1" applyAlignment="1">
      <alignment horizontal="right" vertical="center"/>
    </xf>
    <xf numFmtId="0" fontId="2" fillId="2" borderId="28" xfId="2" applyFill="1" applyBorder="1" applyAlignment="1">
      <alignment vertical="center"/>
    </xf>
    <xf numFmtId="0" fontId="2" fillId="2" borderId="6" xfId="2" applyFill="1" applyBorder="1" applyAlignment="1">
      <alignment horizontal="center" vertical="center"/>
    </xf>
    <xf numFmtId="0" fontId="2" fillId="3" borderId="0" xfId="2" applyFill="1"/>
    <xf numFmtId="0" fontId="2" fillId="3" borderId="6" xfId="2" applyFill="1" applyBorder="1"/>
    <xf numFmtId="0" fontId="5" fillId="2" borderId="4" xfId="2" applyFont="1" applyFill="1" applyBorder="1" applyAlignment="1">
      <alignment horizontal="right" vertical="center"/>
    </xf>
    <xf numFmtId="0" fontId="2" fillId="2" borderId="29" xfId="2" applyFill="1" applyBorder="1" applyAlignment="1">
      <alignment vertical="center"/>
    </xf>
    <xf numFmtId="15" fontId="5" fillId="2" borderId="28" xfId="2" applyNumberFormat="1" applyFont="1" applyFill="1" applyBorder="1" applyAlignment="1">
      <alignment vertical="center"/>
    </xf>
    <xf numFmtId="0" fontId="5" fillId="2" borderId="28" xfId="2" applyFont="1" applyFill="1" applyBorder="1" applyAlignment="1">
      <alignment vertical="center"/>
    </xf>
    <xf numFmtId="0" fontId="5" fillId="2" borderId="6" xfId="2" applyFont="1" applyFill="1" applyBorder="1" applyAlignment="1">
      <alignment horizontal="right" vertical="center"/>
    </xf>
    <xf numFmtId="0" fontId="5" fillId="2" borderId="0" xfId="2" applyFont="1" applyFill="1" applyAlignment="1">
      <alignment horizontal="right" vertical="center"/>
    </xf>
    <xf numFmtId="0" fontId="2" fillId="2" borderId="20" xfId="2" applyFill="1" applyBorder="1" applyAlignment="1">
      <alignment vertical="center"/>
    </xf>
    <xf numFmtId="0" fontId="5" fillId="2" borderId="21" xfId="2" applyFont="1" applyFill="1" applyBorder="1" applyAlignment="1">
      <alignment vertical="center"/>
    </xf>
    <xf numFmtId="0" fontId="2" fillId="2" borderId="21" xfId="2" applyFill="1" applyBorder="1" applyAlignment="1">
      <alignment horizontal="right" vertical="center"/>
    </xf>
    <xf numFmtId="0" fontId="5" fillId="2" borderId="21" xfId="2" applyFont="1" applyFill="1" applyBorder="1" applyAlignment="1">
      <alignment horizontal="left" vertical="center"/>
    </xf>
    <xf numFmtId="0" fontId="5" fillId="2" borderId="21" xfId="2" applyFont="1" applyFill="1" applyBorder="1" applyAlignment="1">
      <alignment horizontal="right" vertical="center"/>
    </xf>
    <xf numFmtId="0" fontId="2" fillId="2" borderId="22" xfId="2" applyFill="1" applyBorder="1" applyAlignment="1">
      <alignment horizontal="center" vertical="center"/>
    </xf>
    <xf numFmtId="0" fontId="2" fillId="3" borderId="20" xfId="2" applyFill="1" applyBorder="1"/>
    <xf numFmtId="0" fontId="2" fillId="3" borderId="21" xfId="2" applyFill="1" applyBorder="1"/>
    <xf numFmtId="0" fontId="2" fillId="3" borderId="22" xfId="2" applyFill="1" applyBorder="1"/>
    <xf numFmtId="0" fontId="2" fillId="2" borderId="21" xfId="2" applyFill="1" applyBorder="1" applyAlignment="1">
      <alignment vertical="center"/>
    </xf>
    <xf numFmtId="0" fontId="2" fillId="2" borderId="22" xfId="2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6" fillId="4" borderId="5" xfId="2" applyFont="1" applyFill="1" applyBorder="1" applyAlignment="1">
      <alignment horizontal="center" vertical="center" wrapText="1"/>
    </xf>
    <xf numFmtId="1" fontId="9" fillId="4" borderId="5" xfId="2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 wrapText="1"/>
    </xf>
    <xf numFmtId="1" fontId="9" fillId="5" borderId="5" xfId="2" applyNumberFormat="1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 wrapText="1"/>
    </xf>
    <xf numFmtId="1" fontId="9" fillId="6" borderId="5" xfId="2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6" fillId="7" borderId="5" xfId="2" applyFont="1" applyFill="1" applyBorder="1" applyAlignment="1">
      <alignment horizontal="center" vertical="center" wrapText="1"/>
    </xf>
    <xf numFmtId="1" fontId="9" fillId="7" borderId="5" xfId="2" applyNumberFormat="1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6" fillId="8" borderId="5" xfId="2" applyFont="1" applyFill="1" applyBorder="1" applyAlignment="1">
      <alignment horizontal="center" vertical="center" wrapText="1"/>
    </xf>
    <xf numFmtId="1" fontId="9" fillId="8" borderId="5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/>
    </xf>
    <xf numFmtId="0" fontId="5" fillId="3" borderId="2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2" fillId="3" borderId="4" xfId="2" applyFill="1" applyBorder="1" applyAlignment="1">
      <alignment horizontal="left" vertical="center"/>
    </xf>
    <xf numFmtId="1" fontId="2" fillId="0" borderId="12" xfId="2" applyNumberFormat="1" applyBorder="1" applyAlignment="1">
      <alignment horizontal="center" vertical="center"/>
    </xf>
    <xf numFmtId="1" fontId="2" fillId="0" borderId="14" xfId="2" applyNumberFormat="1" applyBorder="1" applyAlignment="1">
      <alignment horizontal="center" vertical="center"/>
    </xf>
    <xf numFmtId="1" fontId="2" fillId="0" borderId="18" xfId="2" applyNumberFormat="1" applyBorder="1" applyAlignment="1">
      <alignment horizontal="center" vertical="center"/>
    </xf>
    <xf numFmtId="9" fontId="2" fillId="2" borderId="13" xfId="1" applyFont="1" applyFill="1" applyBorder="1" applyAlignment="1">
      <alignment horizontal="center" vertical="center"/>
    </xf>
    <xf numFmtId="9" fontId="2" fillId="2" borderId="15" xfId="1" applyFont="1" applyFill="1" applyBorder="1" applyAlignment="1">
      <alignment horizontal="center" vertical="center"/>
    </xf>
    <xf numFmtId="9" fontId="2" fillId="2" borderId="19" xfId="1" applyFont="1" applyFill="1" applyBorder="1" applyAlignment="1">
      <alignment horizontal="center" vertical="center"/>
    </xf>
    <xf numFmtId="49" fontId="9" fillId="0" borderId="23" xfId="2" applyNumberFormat="1" applyFont="1" applyBorder="1" applyAlignment="1">
      <alignment horizontal="center" vertical="center" wrapText="1"/>
    </xf>
    <xf numFmtId="49" fontId="9" fillId="0" borderId="24" xfId="2" applyNumberFormat="1" applyFont="1" applyBorder="1" applyAlignment="1">
      <alignment horizontal="center" vertical="center" wrapText="1"/>
    </xf>
    <xf numFmtId="49" fontId="9" fillId="0" borderId="25" xfId="2" applyNumberFormat="1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2" fillId="0" borderId="5" xfId="2" applyBorder="1" applyAlignment="1">
      <alignment horizontal="center" vertical="center" wrapText="1"/>
    </xf>
    <xf numFmtId="0" fontId="2" fillId="2" borderId="5" xfId="2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/>
    </xf>
    <xf numFmtId="0" fontId="3" fillId="2" borderId="5" xfId="2" applyFont="1" applyFill="1" applyBorder="1" applyAlignment="1">
      <alignment horizontal="center" vertical="center"/>
    </xf>
    <xf numFmtId="0" fontId="6" fillId="0" borderId="12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</cellXfs>
  <cellStyles count="4">
    <cellStyle name="Normal" xfId="0" builtinId="0"/>
    <cellStyle name="Normal 2" xfId="2" xr:uid="{25E00D3D-EC47-40B7-A161-BAE436328700}"/>
    <cellStyle name="Porcentaje" xfId="1" builtinId="5"/>
    <cellStyle name="Porcentaje 2" xfId="3" xr:uid="{2832E43D-BE15-4AB3-903D-56D38E644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 DEL LÍMITE</a:t>
            </a:r>
            <a:r>
              <a:rPr lang="es-CO" sz="1100" b="1" baseline="0"/>
              <a:t> DE VELOCIDAD LABORAL EN EL MES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'GSM 875'!$C$9</c:f>
              <c:strCache>
                <c:ptCount val="1"/>
                <c:pt idx="0">
                  <c:v>Desplazamientos laborales (Km totales recorridos por Vehículo)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2432829300523697E-17"/>
                  <c:y val="9.9804373614236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AA-4502-B1AF-6794E452D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'GSM 875'!$C$10:$C$21</c:f>
              <c:numCache>
                <c:formatCode>0</c:formatCode>
                <c:ptCount val="12"/>
                <c:pt idx="0">
                  <c:v>841.29</c:v>
                </c:pt>
                <c:pt idx="1">
                  <c:v>1434</c:v>
                </c:pt>
                <c:pt idx="2">
                  <c:v>1426.19</c:v>
                </c:pt>
                <c:pt idx="3">
                  <c:v>3076.81</c:v>
                </c:pt>
                <c:pt idx="4">
                  <c:v>1774.5</c:v>
                </c:pt>
                <c:pt idx="5">
                  <c:v>1643.51</c:v>
                </c:pt>
                <c:pt idx="6">
                  <c:v>1849.72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A-4502-B1AF-6794E452D96B}"/>
            </c:ext>
          </c:extLst>
        </c:ser>
        <c:ser>
          <c:idx val="1"/>
          <c:order val="1"/>
          <c:tx>
            <c:strRef>
              <c:f>'GSM 875'!$D$9</c:f>
              <c:strCache>
                <c:ptCount val="1"/>
                <c:pt idx="0">
                  <c:v>Desplazamientos con excesos (Km de exceso por Vehículo)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'GSM 875'!$D$10:$D$21</c:f>
              <c:numCache>
                <c:formatCode>0</c:formatCode>
                <c:ptCount val="12"/>
                <c:pt idx="0">
                  <c:v>423</c:v>
                </c:pt>
                <c:pt idx="1">
                  <c:v>774</c:v>
                </c:pt>
                <c:pt idx="2">
                  <c:v>445.03</c:v>
                </c:pt>
                <c:pt idx="3">
                  <c:v>423.43</c:v>
                </c:pt>
                <c:pt idx="4">
                  <c:v>439.49</c:v>
                </c:pt>
                <c:pt idx="5">
                  <c:v>751.5</c:v>
                </c:pt>
                <c:pt idx="6">
                  <c:v>1118.21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A-4502-B1AF-6794E452D9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629920"/>
        <c:axId val="1649632000"/>
      </c:barChart>
      <c:lineChart>
        <c:grouping val="standard"/>
        <c:varyColors val="0"/>
        <c:ser>
          <c:idx val="2"/>
          <c:order val="2"/>
          <c:tx>
            <c:strRef>
              <c:f>'GSM 875'!$E$9</c:f>
              <c:strCache>
                <c:ptCount val="1"/>
                <c:pt idx="0">
                  <c:v>% ELVL MENSUAL POR VEHÍCULO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985274675341772E-2"/>
                  <c:y val="-7.618035117187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AA-4502-B1AF-6794E452D96B}"/>
                </c:ext>
              </c:extLst>
            </c:dLbl>
            <c:dLbl>
              <c:idx val="1"/>
              <c:layout>
                <c:manualLayout>
                  <c:x val="-1.7562684421767978E-3"/>
                  <c:y val="-2.3620346981849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AA-4502-B1AF-6794E452D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'GSM 875'!$E$10:$E$21</c:f>
              <c:numCache>
                <c:formatCode>0%</c:formatCode>
                <c:ptCount val="12"/>
                <c:pt idx="0">
                  <c:v>0.50279927254573331</c:v>
                </c:pt>
                <c:pt idx="1">
                  <c:v>0.53974895397489542</c:v>
                </c:pt>
                <c:pt idx="2">
                  <c:v>0.31204117263478215</c:v>
                </c:pt>
                <c:pt idx="3">
                  <c:v>0.13761980752792666</c:v>
                </c:pt>
                <c:pt idx="4">
                  <c:v>0.24766976613130459</c:v>
                </c:pt>
                <c:pt idx="5">
                  <c:v>0.45725307421311706</c:v>
                </c:pt>
                <c:pt idx="6">
                  <c:v>0.60452933416949595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AA-4502-B1AF-6794E452D9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627008"/>
        <c:axId val="1649630752"/>
      </c:lineChart>
      <c:catAx>
        <c:axId val="16496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32000"/>
        <c:crosses val="autoZero"/>
        <c:auto val="1"/>
        <c:lblAlgn val="ctr"/>
        <c:lblOffset val="100"/>
        <c:noMultiLvlLbl val="0"/>
      </c:catAx>
      <c:valAx>
        <c:axId val="16496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9920"/>
        <c:crosses val="autoZero"/>
        <c:crossBetween val="between"/>
      </c:valAx>
      <c:valAx>
        <c:axId val="164963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7008"/>
        <c:crosses val="max"/>
        <c:crossBetween val="between"/>
      </c:valAx>
      <c:catAx>
        <c:axId val="164962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963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</a:t>
            </a:r>
            <a:r>
              <a:rPr lang="es-CO" sz="1100" b="1" baseline="0"/>
              <a:t> DEL LÍMITE DE VELOCIDAD LABORAL EN EL AÑO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'GSM 875'!$F$9</c:f>
              <c:strCache>
                <c:ptCount val="1"/>
                <c:pt idx="0">
                  <c:v>Desplazamientos laborales acumulados en el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'GSM 875'!$F$10:$F$21</c15:sqref>
                  </c15:fullRef>
                </c:ext>
              </c:extLst>
              <c:f>'GSM 875'!$F$10</c:f>
              <c:numCache>
                <c:formatCode>0</c:formatCode>
                <c:ptCount val="1"/>
                <c:pt idx="0">
                  <c:v>12046.02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5-4121-B9EB-0BBB1A8939C4}"/>
            </c:ext>
          </c:extLst>
        </c:ser>
        <c:ser>
          <c:idx val="1"/>
          <c:order val="1"/>
          <c:tx>
            <c:strRef>
              <c:f>'GSM 875'!$G$9</c:f>
              <c:strCache>
                <c:ptCount val="1"/>
                <c:pt idx="0">
                  <c:v>Desplazamientos con excesos acumulados en el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752747187810296E-17"/>
                  <c:y val="0.122090886180211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55-4121-B9EB-0BBB1A893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'GSM 875'!$G$10:$G$21</c15:sqref>
                  </c15:fullRef>
                </c:ext>
              </c:extLst>
              <c:f>'GSM 875'!$G$10</c:f>
              <c:numCache>
                <c:formatCode>0</c:formatCode>
                <c:ptCount val="1"/>
                <c:pt idx="0">
                  <c:v>4374.66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55-4121-B9EB-0BBB1A8939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013088"/>
        <c:axId val="1741009344"/>
      </c:barChart>
      <c:lineChart>
        <c:grouping val="standard"/>
        <c:varyColors val="0"/>
        <c:ser>
          <c:idx val="2"/>
          <c:order val="2"/>
          <c:tx>
            <c:strRef>
              <c:f>'GSM 875'!$H$9</c:f>
              <c:strCache>
                <c:ptCount val="1"/>
                <c:pt idx="0">
                  <c:v>% ELVL ANUAL POR VEHÍCULO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481528379361036E-2"/>
                  <c:y val="-0.11507458660668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55-4121-B9EB-0BBB1A893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'GSM 875'!$H$10:$H$21</c15:sqref>
                  </c15:fullRef>
                </c:ext>
              </c:extLst>
              <c:f>'GSM 875'!$H$10</c:f>
              <c:numCache>
                <c:formatCode>0%</c:formatCode>
                <c:ptCount val="1"/>
                <c:pt idx="0">
                  <c:v>0.36316227268425583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55-4121-B9EB-0BBB1A8939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0988960"/>
        <c:axId val="1741011008"/>
      </c:lineChart>
      <c:catAx>
        <c:axId val="174101308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41009344"/>
        <c:crosses val="autoZero"/>
        <c:auto val="1"/>
        <c:lblAlgn val="ctr"/>
        <c:lblOffset val="100"/>
        <c:noMultiLvlLbl val="0"/>
      </c:catAx>
      <c:valAx>
        <c:axId val="17410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13088"/>
        <c:crosses val="autoZero"/>
        <c:crossBetween val="between"/>
      </c:valAx>
      <c:valAx>
        <c:axId val="1741011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88960"/>
        <c:crosses val="max"/>
        <c:crossBetween val="between"/>
      </c:valAx>
      <c:catAx>
        <c:axId val="17409889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74101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 DEL LÍMITE</a:t>
            </a:r>
            <a:r>
              <a:rPr lang="es-CO" sz="1100" b="1" baseline="0"/>
              <a:t> DE VELOCIDAD LABORAL EN EL MES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'OQF240'!$C$9</c:f>
              <c:strCache>
                <c:ptCount val="1"/>
                <c:pt idx="0">
                  <c:v>Desplazamientos laborales (Km totales recorridos por Vehículo)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2432829300523697E-17"/>
                  <c:y val="9.9804373614236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08-440F-8514-9CD9D1A543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'OQF240'!$C$10:$C$21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417.02</c:v>
                </c:pt>
                <c:pt idx="5">
                  <c:v>0</c:v>
                </c:pt>
                <c:pt idx="6">
                  <c:v>162.4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8-440F-8514-9CD9D1A543A9}"/>
            </c:ext>
          </c:extLst>
        </c:ser>
        <c:ser>
          <c:idx val="1"/>
          <c:order val="1"/>
          <c:tx>
            <c:strRef>
              <c:f>'OQF240'!$D$9</c:f>
              <c:strCache>
                <c:ptCount val="1"/>
                <c:pt idx="0">
                  <c:v>Desplazamientos con excesos (Km de exceso por Vehículo)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'OQF240'!$D$10:$D$21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300.3</c:v>
                </c:pt>
                <c:pt idx="5">
                  <c:v>0</c:v>
                </c:pt>
                <c:pt idx="6">
                  <c:v>55.28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8-440F-8514-9CD9D1A543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629920"/>
        <c:axId val="1649632000"/>
      </c:barChart>
      <c:lineChart>
        <c:grouping val="standard"/>
        <c:varyColors val="0"/>
        <c:ser>
          <c:idx val="2"/>
          <c:order val="2"/>
          <c:tx>
            <c:strRef>
              <c:f>'OQF240'!$E$9</c:f>
              <c:strCache>
                <c:ptCount val="1"/>
                <c:pt idx="0">
                  <c:v>% ELVL MENSUAL POR VEHÍCULO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985274675341772E-2"/>
                  <c:y val="-7.618035117187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08-440F-8514-9CD9D1A543A9}"/>
                </c:ext>
              </c:extLst>
            </c:dLbl>
            <c:dLbl>
              <c:idx val="1"/>
              <c:layout>
                <c:manualLayout>
                  <c:x val="-1.7562684421767978E-3"/>
                  <c:y val="-2.3620346981849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08-440F-8514-9CD9D1A543A9}"/>
                </c:ext>
              </c:extLst>
            </c:dLbl>
            <c:dLbl>
              <c:idx val="2"/>
              <c:layout>
                <c:manualLayout>
                  <c:x val="-1.0601643254704479E-2"/>
                  <c:y val="-5.8582308142940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08-440F-8514-9CD9D1A543A9}"/>
                </c:ext>
              </c:extLst>
            </c:dLbl>
            <c:dLbl>
              <c:idx val="3"/>
              <c:layout>
                <c:manualLayout>
                  <c:x val="-1.5915346969580319E-2"/>
                  <c:y val="-8.7826507237441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08-440F-8514-9CD9D1A543A9}"/>
                </c:ext>
              </c:extLst>
            </c:dLbl>
            <c:dLbl>
              <c:idx val="4"/>
              <c:layout>
                <c:manualLayout>
                  <c:x val="-1.7604473804116727E-3"/>
                  <c:y val="-1.780898447944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08-440F-8514-9CD9D1A543A9}"/>
                </c:ext>
              </c:extLst>
            </c:dLbl>
            <c:dLbl>
              <c:idx val="5"/>
              <c:layout>
                <c:manualLayout>
                  <c:x val="-8.8347027122537333E-3"/>
                  <c:y val="-7.029876977152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08-440F-8514-9CD9D1A543A9}"/>
                </c:ext>
              </c:extLst>
            </c:dLbl>
            <c:dLbl>
              <c:idx val="6"/>
              <c:layout>
                <c:manualLayout>
                  <c:x val="-1.7604473804116727E-3"/>
                  <c:y val="-1.1927328794752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08-440F-8514-9CD9D1A543A9}"/>
                </c:ext>
              </c:extLst>
            </c:dLbl>
            <c:dLbl>
              <c:idx val="7"/>
              <c:layout>
                <c:manualLayout>
                  <c:x val="-2.1222598527871627E-2"/>
                  <c:y val="-7.0322126547943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08-440F-8514-9CD9D1A543A9}"/>
                </c:ext>
              </c:extLst>
            </c:dLbl>
            <c:dLbl>
              <c:idx val="8"/>
              <c:layout>
                <c:manualLayout>
                  <c:x val="-1.4148352585933945E-2"/>
                  <c:y val="-7.6227213293405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08-440F-8514-9CD9D1A543A9}"/>
                </c:ext>
              </c:extLst>
            </c:dLbl>
            <c:dLbl>
              <c:idx val="9"/>
              <c:layout>
                <c:manualLayout>
                  <c:x val="-7.0699277057615162E-3"/>
                  <c:y val="-7.0368988669474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08-440F-8514-9CD9D1A543A9}"/>
                </c:ext>
              </c:extLst>
            </c:dLbl>
            <c:dLbl>
              <c:idx val="10"/>
              <c:layout>
                <c:manualLayout>
                  <c:x val="-1.4146263116816507E-2"/>
                  <c:y val="-8.2062006856571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08-440F-8514-9CD9D1A543A9}"/>
                </c:ext>
              </c:extLst>
            </c:dLbl>
            <c:dLbl>
              <c:idx val="11"/>
              <c:layout>
                <c:manualLayout>
                  <c:x val="-2.2989453613576644E-2"/>
                  <c:y val="-7.0368988669474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08-440F-8514-9CD9D1A543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'OQF240'!$E$10:$E$21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0.72010934727351217</c:v>
                </c:pt>
                <c:pt idx="5">
                  <c:v>0</c:v>
                </c:pt>
                <c:pt idx="6">
                  <c:v>0.34039408866995075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308-440F-8514-9CD9D1A543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627008"/>
        <c:axId val="1649630752"/>
      </c:lineChart>
      <c:catAx>
        <c:axId val="16496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32000"/>
        <c:crosses val="autoZero"/>
        <c:auto val="1"/>
        <c:lblAlgn val="ctr"/>
        <c:lblOffset val="100"/>
        <c:noMultiLvlLbl val="0"/>
      </c:catAx>
      <c:valAx>
        <c:axId val="16496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9920"/>
        <c:crosses val="autoZero"/>
        <c:crossBetween val="between"/>
      </c:valAx>
      <c:valAx>
        <c:axId val="164963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7008"/>
        <c:crosses val="max"/>
        <c:crossBetween val="between"/>
      </c:valAx>
      <c:catAx>
        <c:axId val="164962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963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</a:t>
            </a:r>
            <a:r>
              <a:rPr lang="es-CO" sz="1100" b="1" baseline="0"/>
              <a:t> DEL LÍMITE DE VELOCIDAD LABORAL EN EL AÑO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'OQF240'!$F$9</c:f>
              <c:strCache>
                <c:ptCount val="1"/>
                <c:pt idx="0">
                  <c:v>Desplazamientos laborales acumulados en el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'OQF240'!$F$10:$F$21</c15:sqref>
                  </c15:fullRef>
                </c:ext>
              </c:extLst>
              <c:f>'OQF240'!$F$10</c:f>
              <c:numCache>
                <c:formatCode>0</c:formatCode>
                <c:ptCount val="1"/>
                <c:pt idx="0">
                  <c:v>579.41999999999996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B-4ED6-AF2F-EEA6C823CDF9}"/>
            </c:ext>
          </c:extLst>
        </c:ser>
        <c:ser>
          <c:idx val="1"/>
          <c:order val="1"/>
          <c:tx>
            <c:strRef>
              <c:f>'OQF240'!$G$9</c:f>
              <c:strCache>
                <c:ptCount val="1"/>
                <c:pt idx="0">
                  <c:v>Desplazamientos con excesos acumulados en el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752747187810296E-17"/>
                  <c:y val="0.122090886180211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2B-4ED6-AF2F-EEA6C823C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'OQF240'!$G$10:$G$21</c15:sqref>
                  </c15:fullRef>
                </c:ext>
              </c:extLst>
              <c:f>'OQF240'!$G$10</c:f>
              <c:numCache>
                <c:formatCode>0</c:formatCode>
                <c:ptCount val="1"/>
                <c:pt idx="0">
                  <c:v>355.58000000000004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2B-4ED6-AF2F-EEA6C823CD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013088"/>
        <c:axId val="1741009344"/>
      </c:barChart>
      <c:lineChart>
        <c:grouping val="standard"/>
        <c:varyColors val="0"/>
        <c:ser>
          <c:idx val="2"/>
          <c:order val="2"/>
          <c:tx>
            <c:strRef>
              <c:f>'OQF240'!$H$9</c:f>
              <c:strCache>
                <c:ptCount val="1"/>
                <c:pt idx="0">
                  <c:v>% ELVL ANUAL POR VEHÍCULO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481528379361036E-2"/>
                  <c:y val="-0.11507458660668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2B-4ED6-AF2F-EEA6C823C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'OQF240'!$H$10:$H$21</c15:sqref>
                  </c15:fullRef>
                </c:ext>
              </c:extLst>
              <c:f>'OQF240'!$H$10</c:f>
              <c:numCache>
                <c:formatCode>0%</c:formatCode>
                <c:ptCount val="1"/>
                <c:pt idx="0">
                  <c:v>0.61368264816540685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2B-4ED6-AF2F-EEA6C823CD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0988960"/>
        <c:axId val="1741011008"/>
      </c:lineChart>
      <c:catAx>
        <c:axId val="174101308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41009344"/>
        <c:crosses val="autoZero"/>
        <c:auto val="1"/>
        <c:lblAlgn val="ctr"/>
        <c:lblOffset val="100"/>
        <c:noMultiLvlLbl val="0"/>
      </c:catAx>
      <c:valAx>
        <c:axId val="17410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13088"/>
        <c:crosses val="autoZero"/>
        <c:crossBetween val="between"/>
      </c:valAx>
      <c:valAx>
        <c:axId val="1741011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88960"/>
        <c:crosses val="max"/>
        <c:crossBetween val="between"/>
      </c:valAx>
      <c:catAx>
        <c:axId val="17409889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74101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 DEL LÍMITE</a:t>
            </a:r>
            <a:r>
              <a:rPr lang="es-CO" sz="1100" b="1" baseline="0"/>
              <a:t> DE VELOCIDAD LABORAL EN EL MES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'UVM365'!$C$9</c:f>
              <c:strCache>
                <c:ptCount val="1"/>
                <c:pt idx="0">
                  <c:v>Desplazamientos laborales (Km totales recorridos por Vehículo)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2432829300523697E-17"/>
                  <c:y val="9.9804373614236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78-4BDC-9EA6-F7BC445445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'UVM365'!$C$10:$C$21</c:f>
              <c:numCache>
                <c:formatCode>0</c:formatCode>
                <c:ptCount val="12"/>
                <c:pt idx="0">
                  <c:v>1751.47</c:v>
                </c:pt>
                <c:pt idx="1">
                  <c:v>565.41</c:v>
                </c:pt>
                <c:pt idx="2">
                  <c:v>739.63</c:v>
                </c:pt>
                <c:pt idx="3">
                  <c:v>12.48</c:v>
                </c:pt>
                <c:pt idx="4">
                  <c:v>6.65</c:v>
                </c:pt>
                <c:pt idx="5">
                  <c:v>0</c:v>
                </c:pt>
                <c:pt idx="6">
                  <c:v>112.66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8-4BDC-9EA6-F7BC445445D4}"/>
            </c:ext>
          </c:extLst>
        </c:ser>
        <c:ser>
          <c:idx val="1"/>
          <c:order val="1"/>
          <c:tx>
            <c:strRef>
              <c:f>'UVM365'!$D$9</c:f>
              <c:strCache>
                <c:ptCount val="1"/>
                <c:pt idx="0">
                  <c:v>Desplazamientos con excesos (Km de exceso por Vehículo)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'UVM365'!$D$10:$D$21</c:f>
              <c:numCache>
                <c:formatCode>0</c:formatCode>
                <c:ptCount val="12"/>
                <c:pt idx="0">
                  <c:v>109</c:v>
                </c:pt>
                <c:pt idx="1">
                  <c:v>0</c:v>
                </c:pt>
                <c:pt idx="2">
                  <c:v>27.54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8-4BDC-9EA6-F7BC445445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629920"/>
        <c:axId val="1649632000"/>
      </c:barChart>
      <c:lineChart>
        <c:grouping val="standard"/>
        <c:varyColors val="0"/>
        <c:ser>
          <c:idx val="2"/>
          <c:order val="2"/>
          <c:tx>
            <c:strRef>
              <c:f>'UVM365'!$E$9</c:f>
              <c:strCache>
                <c:ptCount val="1"/>
                <c:pt idx="0">
                  <c:v>% ELVL MENSUAL POR VEHÍCULO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985274675341772E-2"/>
                  <c:y val="-7.618035117187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78-4BDC-9EA6-F7BC445445D4}"/>
                </c:ext>
              </c:extLst>
            </c:dLbl>
            <c:dLbl>
              <c:idx val="1"/>
              <c:layout>
                <c:manualLayout>
                  <c:x val="-1.7562684421767978E-3"/>
                  <c:y val="-2.3620346981849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78-4BDC-9EA6-F7BC445445D4}"/>
                </c:ext>
              </c:extLst>
            </c:dLbl>
            <c:dLbl>
              <c:idx val="2"/>
              <c:layout>
                <c:manualLayout>
                  <c:x val="-1.0601643254704479E-2"/>
                  <c:y val="-5.8582308142940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78-4BDC-9EA6-F7BC445445D4}"/>
                </c:ext>
              </c:extLst>
            </c:dLbl>
            <c:dLbl>
              <c:idx val="3"/>
              <c:layout>
                <c:manualLayout>
                  <c:x val="-1.5915346969580319E-2"/>
                  <c:y val="-8.7826507237441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78-4BDC-9EA6-F7BC445445D4}"/>
                </c:ext>
              </c:extLst>
            </c:dLbl>
            <c:dLbl>
              <c:idx val="4"/>
              <c:layout>
                <c:manualLayout>
                  <c:x val="-1.7604473804116727E-3"/>
                  <c:y val="-1.780898447944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78-4BDC-9EA6-F7BC445445D4}"/>
                </c:ext>
              </c:extLst>
            </c:dLbl>
            <c:dLbl>
              <c:idx val="5"/>
              <c:layout>
                <c:manualLayout>
                  <c:x val="-8.8347027122537333E-3"/>
                  <c:y val="-7.029876977152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78-4BDC-9EA6-F7BC445445D4}"/>
                </c:ext>
              </c:extLst>
            </c:dLbl>
            <c:dLbl>
              <c:idx val="6"/>
              <c:layout>
                <c:manualLayout>
                  <c:x val="-1.7604473804116727E-3"/>
                  <c:y val="-1.1927328794752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78-4BDC-9EA6-F7BC445445D4}"/>
                </c:ext>
              </c:extLst>
            </c:dLbl>
            <c:dLbl>
              <c:idx val="7"/>
              <c:layout>
                <c:manualLayout>
                  <c:x val="-2.1222598527871627E-2"/>
                  <c:y val="-7.0322126547943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78-4BDC-9EA6-F7BC445445D4}"/>
                </c:ext>
              </c:extLst>
            </c:dLbl>
            <c:dLbl>
              <c:idx val="8"/>
              <c:layout>
                <c:manualLayout>
                  <c:x val="-1.4148352585933945E-2"/>
                  <c:y val="-7.6227213293405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78-4BDC-9EA6-F7BC445445D4}"/>
                </c:ext>
              </c:extLst>
            </c:dLbl>
            <c:dLbl>
              <c:idx val="9"/>
              <c:layout>
                <c:manualLayout>
                  <c:x val="-7.0699277057615162E-3"/>
                  <c:y val="-7.0368988669474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78-4BDC-9EA6-F7BC445445D4}"/>
                </c:ext>
              </c:extLst>
            </c:dLbl>
            <c:dLbl>
              <c:idx val="10"/>
              <c:layout>
                <c:manualLayout>
                  <c:x val="-1.4146263116816507E-2"/>
                  <c:y val="-8.2062006856571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78-4BDC-9EA6-F7BC445445D4}"/>
                </c:ext>
              </c:extLst>
            </c:dLbl>
            <c:dLbl>
              <c:idx val="11"/>
              <c:layout>
                <c:manualLayout>
                  <c:x val="-2.2989453613576644E-2"/>
                  <c:y val="-7.0368988669474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778-4BDC-9EA6-F7BC445445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'UVM365'!$E$10:$E$21</c:f>
              <c:numCache>
                <c:formatCode>0%</c:formatCode>
                <c:ptCount val="12"/>
                <c:pt idx="0">
                  <c:v>6.2233438197628277E-2</c:v>
                </c:pt>
                <c:pt idx="1">
                  <c:v>0</c:v>
                </c:pt>
                <c:pt idx="2">
                  <c:v>3.7234833633032732E-2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78-4BDC-9EA6-F7BC445445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627008"/>
        <c:axId val="1649630752"/>
      </c:lineChart>
      <c:catAx>
        <c:axId val="16496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32000"/>
        <c:crosses val="autoZero"/>
        <c:auto val="1"/>
        <c:lblAlgn val="ctr"/>
        <c:lblOffset val="100"/>
        <c:noMultiLvlLbl val="0"/>
      </c:catAx>
      <c:valAx>
        <c:axId val="16496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9920"/>
        <c:crosses val="autoZero"/>
        <c:crossBetween val="between"/>
      </c:valAx>
      <c:valAx>
        <c:axId val="164963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7008"/>
        <c:crosses val="max"/>
        <c:crossBetween val="between"/>
      </c:valAx>
      <c:catAx>
        <c:axId val="164962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963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</a:t>
            </a:r>
            <a:r>
              <a:rPr lang="es-CO" sz="1100" b="1" baseline="0"/>
              <a:t> DEL LÍMITE DE VELOCIDAD LABORAL EN EL AÑO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 EXCESOS LIM VELOCIDAD'!$F$9</c:f>
              <c:strCache>
                <c:ptCount val="1"/>
                <c:pt idx="0">
                  <c:v>Desplazamientos laborales acumulados en el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'[1]8. EXCESOS LIM VELOCIDAD'!$F$10:$F$21</c15:sqref>
                  </c15:fullRef>
                </c:ext>
              </c:extLst>
              <c:f>'[1]8. EXCESOS LIM VELOCIDAD'!$F$10</c:f>
              <c:numCache>
                <c:formatCode>General</c:formatCode>
                <c:ptCount val="1"/>
                <c:pt idx="0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7-477C-9161-46D97112B59C}"/>
            </c:ext>
          </c:extLst>
        </c:ser>
        <c:ser>
          <c:idx val="1"/>
          <c:order val="1"/>
          <c:tx>
            <c:strRef>
              <c:f>'[1]8. EXCESOS LIM VELOCIDAD'!$G$9</c:f>
              <c:strCache>
                <c:ptCount val="1"/>
                <c:pt idx="0">
                  <c:v>Desplazamientos con excesos acumulados en el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752747187810296E-17"/>
                  <c:y val="0.122090886180211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F7-477C-9161-46D97112B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'[1]8. EXCESOS LIM VELOCIDAD'!$G$10:$G$21</c15:sqref>
                  </c15:fullRef>
                </c:ext>
              </c:extLst>
              <c:f>'[1]8. EXCESOS LIM VELOCIDAD'!$G$10</c:f>
              <c:numCache>
                <c:formatCode>General</c:formatCode>
                <c:ptCount val="1"/>
                <c:pt idx="0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7-477C-9161-46D97112B5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013088"/>
        <c:axId val="1741009344"/>
      </c:barChart>
      <c:lineChart>
        <c:grouping val="standard"/>
        <c:varyColors val="0"/>
        <c:ser>
          <c:idx val="2"/>
          <c:order val="2"/>
          <c:tx>
            <c:strRef>
              <c:f>'[1]8. EXCESOS LIM VELOCIDAD'!$H$9</c:f>
              <c:strCache>
                <c:ptCount val="1"/>
                <c:pt idx="0">
                  <c:v>% ELVL ANUAL POR VEHÍCULO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481528379361036E-2"/>
                  <c:y val="-0.11507458660668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F7-477C-9161-46D97112B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'[1]8. EXCESOS LIM VELOCIDAD'!$H$10:$H$21</c15:sqref>
                  </c15:fullRef>
                </c:ext>
              </c:extLst>
              <c:f>'[1]8. EXCESOS LIM VELOCIDAD'!$H$10</c:f>
              <c:numCache>
                <c:formatCode>General</c:formatCode>
                <c:ptCount val="1"/>
                <c:pt idx="0">
                  <c:v>1.6136363636363636E-2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F7-477C-9161-46D97112B5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0988960"/>
        <c:axId val="1741011008"/>
      </c:lineChart>
      <c:catAx>
        <c:axId val="174101308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41009344"/>
        <c:crosses val="autoZero"/>
        <c:auto val="1"/>
        <c:lblAlgn val="ctr"/>
        <c:lblOffset val="100"/>
        <c:noMultiLvlLbl val="0"/>
      </c:catAx>
      <c:valAx>
        <c:axId val="17410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13088"/>
        <c:crosses val="autoZero"/>
        <c:crossBetween val="between"/>
      </c:valAx>
      <c:valAx>
        <c:axId val="1741011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88960"/>
        <c:crosses val="max"/>
        <c:crossBetween val="between"/>
      </c:valAx>
      <c:catAx>
        <c:axId val="17409889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74101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 DEL LÍMITE</a:t>
            </a:r>
            <a:r>
              <a:rPr lang="es-CO" sz="1100" b="1" baseline="0"/>
              <a:t> DE VELOCIDAD LABORAL EN EL MES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'HCQ911'!$C$9</c:f>
              <c:strCache>
                <c:ptCount val="1"/>
                <c:pt idx="0">
                  <c:v>Desplazamientos laborales (Km totales recorridos por Vehículo)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2432829300523697E-17"/>
                  <c:y val="9.9804373614236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B1-4DCD-90FC-BCBEE6D4A8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'HCQ911'!$C$10:$C$21</c:f>
              <c:numCache>
                <c:formatCode>0</c:formatCode>
                <c:ptCount val="12"/>
                <c:pt idx="0">
                  <c:v>748</c:v>
                </c:pt>
                <c:pt idx="1">
                  <c:v>1197</c:v>
                </c:pt>
                <c:pt idx="2">
                  <c:v>0.63</c:v>
                </c:pt>
                <c:pt idx="3">
                  <c:v>268.06</c:v>
                </c:pt>
                <c:pt idx="4">
                  <c:v>788.19</c:v>
                </c:pt>
                <c:pt idx="5">
                  <c:v>1255.0999999999999</c:v>
                </c:pt>
                <c:pt idx="6">
                  <c:v>1166.0999999999999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1-4DCD-90FC-BCBEE6D4A8D2}"/>
            </c:ext>
          </c:extLst>
        </c:ser>
        <c:ser>
          <c:idx val="1"/>
          <c:order val="1"/>
          <c:tx>
            <c:strRef>
              <c:f>'HCQ911'!$D$9</c:f>
              <c:strCache>
                <c:ptCount val="1"/>
                <c:pt idx="0">
                  <c:v>Desplazamientos con excesos (Km de exceso por Vehículo)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'HCQ911'!$D$10:$D$21</c:f>
              <c:numCache>
                <c:formatCode>0</c:formatCode>
                <c:ptCount val="12"/>
                <c:pt idx="0">
                  <c:v>219</c:v>
                </c:pt>
                <c:pt idx="1">
                  <c:v>344</c:v>
                </c:pt>
                <c:pt idx="2">
                  <c:v>0</c:v>
                </c:pt>
                <c:pt idx="3">
                  <c:v>93.27</c:v>
                </c:pt>
                <c:pt idx="4">
                  <c:v>216.08</c:v>
                </c:pt>
                <c:pt idx="5">
                  <c:v>131.27000000000001</c:v>
                </c:pt>
                <c:pt idx="6">
                  <c:v>231.61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1-4DCD-90FC-BCBEE6D4A8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629920"/>
        <c:axId val="1649632000"/>
      </c:barChart>
      <c:lineChart>
        <c:grouping val="standard"/>
        <c:varyColors val="0"/>
        <c:ser>
          <c:idx val="2"/>
          <c:order val="2"/>
          <c:tx>
            <c:strRef>
              <c:f>'HCQ911'!$E$9</c:f>
              <c:strCache>
                <c:ptCount val="1"/>
                <c:pt idx="0">
                  <c:v>% ELVL MENSUAL POR VEHÍCULO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985274675341772E-2"/>
                  <c:y val="-7.618035117187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B1-4DCD-90FC-BCBEE6D4A8D2}"/>
                </c:ext>
              </c:extLst>
            </c:dLbl>
            <c:dLbl>
              <c:idx val="1"/>
              <c:layout>
                <c:manualLayout>
                  <c:x val="-1.7562684421767978E-3"/>
                  <c:y val="-2.3620346981849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B1-4DCD-90FC-BCBEE6D4A8D2}"/>
                </c:ext>
              </c:extLst>
            </c:dLbl>
            <c:dLbl>
              <c:idx val="2"/>
              <c:layout>
                <c:manualLayout>
                  <c:x val="-1.0601643254704479E-2"/>
                  <c:y val="-5.8582308142940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B1-4DCD-90FC-BCBEE6D4A8D2}"/>
                </c:ext>
              </c:extLst>
            </c:dLbl>
            <c:dLbl>
              <c:idx val="3"/>
              <c:layout>
                <c:manualLayout>
                  <c:x val="-1.5915346969580319E-2"/>
                  <c:y val="-8.7826507237441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B1-4DCD-90FC-BCBEE6D4A8D2}"/>
                </c:ext>
              </c:extLst>
            </c:dLbl>
            <c:dLbl>
              <c:idx val="4"/>
              <c:layout>
                <c:manualLayout>
                  <c:x val="-1.7604473804116727E-3"/>
                  <c:y val="-1.780898447944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B1-4DCD-90FC-BCBEE6D4A8D2}"/>
                </c:ext>
              </c:extLst>
            </c:dLbl>
            <c:dLbl>
              <c:idx val="5"/>
              <c:layout>
                <c:manualLayout>
                  <c:x val="-8.8347027122537333E-3"/>
                  <c:y val="-7.029876977152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B1-4DCD-90FC-BCBEE6D4A8D2}"/>
                </c:ext>
              </c:extLst>
            </c:dLbl>
            <c:dLbl>
              <c:idx val="6"/>
              <c:layout>
                <c:manualLayout>
                  <c:x val="-1.7604473804116727E-3"/>
                  <c:y val="-1.1927328794752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B1-4DCD-90FC-BCBEE6D4A8D2}"/>
                </c:ext>
              </c:extLst>
            </c:dLbl>
            <c:dLbl>
              <c:idx val="7"/>
              <c:layout>
                <c:manualLayout>
                  <c:x val="-2.1222598527871627E-2"/>
                  <c:y val="-7.0322126547943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B1-4DCD-90FC-BCBEE6D4A8D2}"/>
                </c:ext>
              </c:extLst>
            </c:dLbl>
            <c:dLbl>
              <c:idx val="8"/>
              <c:layout>
                <c:manualLayout>
                  <c:x val="-1.4148352585933945E-2"/>
                  <c:y val="-7.6227213293405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AB1-4DCD-90FC-BCBEE6D4A8D2}"/>
                </c:ext>
              </c:extLst>
            </c:dLbl>
            <c:dLbl>
              <c:idx val="9"/>
              <c:layout>
                <c:manualLayout>
                  <c:x val="-7.0699277057615162E-3"/>
                  <c:y val="-7.0368988669474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B1-4DCD-90FC-BCBEE6D4A8D2}"/>
                </c:ext>
              </c:extLst>
            </c:dLbl>
            <c:dLbl>
              <c:idx val="10"/>
              <c:layout>
                <c:manualLayout>
                  <c:x val="-1.4146263116816507E-2"/>
                  <c:y val="-8.2062006856571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B1-4DCD-90FC-BCBEE6D4A8D2}"/>
                </c:ext>
              </c:extLst>
            </c:dLbl>
            <c:dLbl>
              <c:idx val="11"/>
              <c:layout>
                <c:manualLayout>
                  <c:x val="-2.2989453613576644E-2"/>
                  <c:y val="-7.0368988669474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B1-4DCD-90FC-BCBEE6D4A8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'HCQ911'!$E$10:$E$21</c:f>
              <c:numCache>
                <c:formatCode>0%</c:formatCode>
                <c:ptCount val="12"/>
                <c:pt idx="0">
                  <c:v>0.29278074866310161</c:v>
                </c:pt>
                <c:pt idx="1">
                  <c:v>0.28738512949039263</c:v>
                </c:pt>
                <c:pt idx="2">
                  <c:v>0</c:v>
                </c:pt>
                <c:pt idx="3">
                  <c:v>0.34794449003954336</c:v>
                </c:pt>
                <c:pt idx="4">
                  <c:v>0.27414709651226227</c:v>
                </c:pt>
                <c:pt idx="5">
                  <c:v>0.10458927575491994</c:v>
                </c:pt>
                <c:pt idx="6">
                  <c:v>0.1986193293885602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B1-4DCD-90FC-BCBEE6D4A8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627008"/>
        <c:axId val="1649630752"/>
      </c:lineChart>
      <c:catAx>
        <c:axId val="16496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32000"/>
        <c:crosses val="autoZero"/>
        <c:auto val="1"/>
        <c:lblAlgn val="ctr"/>
        <c:lblOffset val="100"/>
        <c:noMultiLvlLbl val="0"/>
      </c:catAx>
      <c:valAx>
        <c:axId val="16496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9920"/>
        <c:crosses val="autoZero"/>
        <c:crossBetween val="between"/>
      </c:valAx>
      <c:valAx>
        <c:axId val="164963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7008"/>
        <c:crosses val="max"/>
        <c:crossBetween val="between"/>
      </c:valAx>
      <c:catAx>
        <c:axId val="164962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963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</a:t>
            </a:r>
            <a:r>
              <a:rPr lang="es-CO" sz="1100" b="1" baseline="0"/>
              <a:t> DEL LÍMITE DE VELOCIDAD LABORAL EN EL AÑO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'HCQ911'!$F$9</c:f>
              <c:strCache>
                <c:ptCount val="1"/>
                <c:pt idx="0">
                  <c:v>Desplazamientos laborales acumulados en el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'HCQ911'!$F$10:$F$21</c15:sqref>
                  </c15:fullRef>
                </c:ext>
              </c:extLst>
              <c:f>'HCQ911'!$F$10</c:f>
              <c:numCache>
                <c:formatCode>0</c:formatCode>
                <c:ptCount val="1"/>
                <c:pt idx="0">
                  <c:v>5423.08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C-4648-9C9C-52962F9793CB}"/>
            </c:ext>
          </c:extLst>
        </c:ser>
        <c:ser>
          <c:idx val="1"/>
          <c:order val="1"/>
          <c:tx>
            <c:strRef>
              <c:f>'HCQ911'!$G$9</c:f>
              <c:strCache>
                <c:ptCount val="1"/>
                <c:pt idx="0">
                  <c:v>Desplazamientos con excesos acumulados en el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752747187810296E-17"/>
                  <c:y val="0.122090886180211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7C-4648-9C9C-52962F9793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'HCQ911'!$G$10:$G$21</c15:sqref>
                  </c15:fullRef>
                </c:ext>
              </c:extLst>
              <c:f>'HCQ911'!$G$10</c:f>
              <c:numCache>
                <c:formatCode>0</c:formatCode>
                <c:ptCount val="1"/>
                <c:pt idx="0">
                  <c:v>1235.23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C-4648-9C9C-52962F9793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013088"/>
        <c:axId val="1741009344"/>
      </c:barChart>
      <c:lineChart>
        <c:grouping val="standard"/>
        <c:varyColors val="0"/>
        <c:ser>
          <c:idx val="2"/>
          <c:order val="2"/>
          <c:tx>
            <c:strRef>
              <c:f>'HCQ911'!$H$9</c:f>
              <c:strCache>
                <c:ptCount val="1"/>
                <c:pt idx="0">
                  <c:v>% ELVL ANUAL POR VEHÍCULO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481528379361036E-2"/>
                  <c:y val="-0.11507458660668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C-4648-9C9C-52962F9793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'HCQ911'!$H$10:$H$21</c15:sqref>
                  </c15:fullRef>
                </c:ext>
              </c:extLst>
              <c:f>'HCQ911'!$H$10</c:f>
              <c:numCache>
                <c:formatCode>0%</c:formatCode>
                <c:ptCount val="1"/>
                <c:pt idx="0">
                  <c:v>0.22777277856863629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7C-4648-9C9C-52962F9793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0988960"/>
        <c:axId val="1741011008"/>
      </c:lineChart>
      <c:catAx>
        <c:axId val="174101308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41009344"/>
        <c:crosses val="autoZero"/>
        <c:auto val="1"/>
        <c:lblAlgn val="ctr"/>
        <c:lblOffset val="100"/>
        <c:noMultiLvlLbl val="0"/>
      </c:catAx>
      <c:valAx>
        <c:axId val="17410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13088"/>
        <c:crosses val="autoZero"/>
        <c:crossBetween val="between"/>
      </c:valAx>
      <c:valAx>
        <c:axId val="1741011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88960"/>
        <c:crosses val="max"/>
        <c:crossBetween val="between"/>
      </c:valAx>
      <c:catAx>
        <c:axId val="17409889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74101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 DEL LÍMITE</a:t>
            </a:r>
            <a:r>
              <a:rPr lang="es-CO" sz="1100" b="1" baseline="0"/>
              <a:t> DE VELOCIDAD LABORAL EN EL MES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'SKB422'!$C$9</c:f>
              <c:strCache>
                <c:ptCount val="1"/>
                <c:pt idx="0">
                  <c:v>Desplazamientos laborales (Km totales recorridos por Vehículo)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2432829300523697E-17"/>
                  <c:y val="9.9804373614236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90-4CA4-A2C7-84FEBD2E94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'SKB422'!$C$10:$C$21</c:f>
              <c:numCache>
                <c:formatCode>0</c:formatCode>
                <c:ptCount val="12"/>
                <c:pt idx="0">
                  <c:v>237</c:v>
                </c:pt>
                <c:pt idx="1">
                  <c:v>488.14</c:v>
                </c:pt>
                <c:pt idx="2">
                  <c:v>1021.86</c:v>
                </c:pt>
                <c:pt idx="3">
                  <c:v>562</c:v>
                </c:pt>
                <c:pt idx="4">
                  <c:v>449.26</c:v>
                </c:pt>
                <c:pt idx="5">
                  <c:v>58.88</c:v>
                </c:pt>
                <c:pt idx="6">
                  <c:v>462.39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0-4CA4-A2C7-84FEBD2E9439}"/>
            </c:ext>
          </c:extLst>
        </c:ser>
        <c:ser>
          <c:idx val="1"/>
          <c:order val="1"/>
          <c:tx>
            <c:strRef>
              <c:f>'SKB422'!$D$9</c:f>
              <c:strCache>
                <c:ptCount val="1"/>
                <c:pt idx="0">
                  <c:v>Desplazamientos con excesos (Km de exceso por Vehículo)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'SKB422'!$D$10:$D$21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90-4CA4-A2C7-84FEBD2E94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629920"/>
        <c:axId val="1649632000"/>
      </c:barChart>
      <c:lineChart>
        <c:grouping val="standard"/>
        <c:varyColors val="0"/>
        <c:ser>
          <c:idx val="2"/>
          <c:order val="2"/>
          <c:tx>
            <c:strRef>
              <c:f>'SKB422'!$E$9</c:f>
              <c:strCache>
                <c:ptCount val="1"/>
                <c:pt idx="0">
                  <c:v>% ELVL MENSUAL POR VEHÍCULO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985274675341772E-2"/>
                  <c:y val="-7.618035117187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90-4CA4-A2C7-84FEBD2E9439}"/>
                </c:ext>
              </c:extLst>
            </c:dLbl>
            <c:dLbl>
              <c:idx val="1"/>
              <c:layout>
                <c:manualLayout>
                  <c:x val="-1.7562684421767978E-3"/>
                  <c:y val="-2.3620346981849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90-4CA4-A2C7-84FEBD2E9439}"/>
                </c:ext>
              </c:extLst>
            </c:dLbl>
            <c:dLbl>
              <c:idx val="2"/>
              <c:layout>
                <c:manualLayout>
                  <c:x val="-1.0601643254704479E-2"/>
                  <c:y val="-5.8582308142940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90-4CA4-A2C7-84FEBD2E9439}"/>
                </c:ext>
              </c:extLst>
            </c:dLbl>
            <c:dLbl>
              <c:idx val="3"/>
              <c:layout>
                <c:manualLayout>
                  <c:x val="-1.5915346969580319E-2"/>
                  <c:y val="-8.7826507237441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90-4CA4-A2C7-84FEBD2E9439}"/>
                </c:ext>
              </c:extLst>
            </c:dLbl>
            <c:dLbl>
              <c:idx val="4"/>
              <c:layout>
                <c:manualLayout>
                  <c:x val="-1.7604473804116727E-3"/>
                  <c:y val="-1.780898447944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90-4CA4-A2C7-84FEBD2E9439}"/>
                </c:ext>
              </c:extLst>
            </c:dLbl>
            <c:dLbl>
              <c:idx val="5"/>
              <c:layout>
                <c:manualLayout>
                  <c:x val="-8.8347027122537333E-3"/>
                  <c:y val="-7.029876977152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90-4CA4-A2C7-84FEBD2E9439}"/>
                </c:ext>
              </c:extLst>
            </c:dLbl>
            <c:dLbl>
              <c:idx val="6"/>
              <c:layout>
                <c:manualLayout>
                  <c:x val="-1.7604473804116727E-3"/>
                  <c:y val="-1.1927328794752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90-4CA4-A2C7-84FEBD2E9439}"/>
                </c:ext>
              </c:extLst>
            </c:dLbl>
            <c:dLbl>
              <c:idx val="7"/>
              <c:layout>
                <c:manualLayout>
                  <c:x val="-2.1222598527871627E-2"/>
                  <c:y val="-7.0322126547943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90-4CA4-A2C7-84FEBD2E9439}"/>
                </c:ext>
              </c:extLst>
            </c:dLbl>
            <c:dLbl>
              <c:idx val="8"/>
              <c:layout>
                <c:manualLayout>
                  <c:x val="-1.4148352585933945E-2"/>
                  <c:y val="-7.6227213293405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90-4CA4-A2C7-84FEBD2E9439}"/>
                </c:ext>
              </c:extLst>
            </c:dLbl>
            <c:dLbl>
              <c:idx val="9"/>
              <c:layout>
                <c:manualLayout>
                  <c:x val="-7.0699277057615162E-3"/>
                  <c:y val="-7.0368988669474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90-4CA4-A2C7-84FEBD2E9439}"/>
                </c:ext>
              </c:extLst>
            </c:dLbl>
            <c:dLbl>
              <c:idx val="10"/>
              <c:layout>
                <c:manualLayout>
                  <c:x val="-1.4146263116816507E-2"/>
                  <c:y val="-8.2062006856571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90-4CA4-A2C7-84FEBD2E9439}"/>
                </c:ext>
              </c:extLst>
            </c:dLbl>
            <c:dLbl>
              <c:idx val="11"/>
              <c:layout>
                <c:manualLayout>
                  <c:x val="-2.2989453613576644E-2"/>
                  <c:y val="-7.0368988669474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490-4CA4-A2C7-84FEBD2E94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 EXCESOS LIM VELOCIDAD'!$B$10:$B$21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'SKB422'!$E$10:$E$21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490-4CA4-A2C7-84FEBD2E94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627008"/>
        <c:axId val="1649630752"/>
      </c:lineChart>
      <c:catAx>
        <c:axId val="16496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32000"/>
        <c:crosses val="autoZero"/>
        <c:auto val="1"/>
        <c:lblAlgn val="ctr"/>
        <c:lblOffset val="100"/>
        <c:noMultiLvlLbl val="0"/>
      </c:catAx>
      <c:valAx>
        <c:axId val="16496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9920"/>
        <c:crosses val="autoZero"/>
        <c:crossBetween val="between"/>
      </c:valAx>
      <c:valAx>
        <c:axId val="164963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27008"/>
        <c:crosses val="max"/>
        <c:crossBetween val="between"/>
      </c:valAx>
      <c:catAx>
        <c:axId val="164962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963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EXCESOS</a:t>
            </a:r>
            <a:r>
              <a:rPr lang="es-CO" sz="1100" b="1" baseline="0"/>
              <a:t> DEL LÍMITE DE VELOCIDAD LABORAL EN EL AÑO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'SKB422'!$F$9</c:f>
              <c:strCache>
                <c:ptCount val="1"/>
                <c:pt idx="0">
                  <c:v>Desplazamientos laborales acumulados en el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'SKB422'!$F$10:$F$21</c15:sqref>
                  </c15:fullRef>
                </c:ext>
              </c:extLst>
              <c:f>'SKB422'!$F$10</c:f>
              <c:numCache>
                <c:formatCode>0</c:formatCode>
                <c:ptCount val="1"/>
                <c:pt idx="0">
                  <c:v>3279.53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5-4461-9A96-A197387D116C}"/>
            </c:ext>
          </c:extLst>
        </c:ser>
        <c:ser>
          <c:idx val="1"/>
          <c:order val="1"/>
          <c:tx>
            <c:strRef>
              <c:f>'SKB422'!$G$9</c:f>
              <c:strCache>
                <c:ptCount val="1"/>
                <c:pt idx="0">
                  <c:v>Desplazamientos con excesos acumulados en el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752747187810296E-17"/>
                  <c:y val="0.122090886180211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55-4461-9A96-A197387D1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'SKB422'!$G$10:$G$21</c15:sqref>
                  </c15:fullRef>
                </c:ext>
              </c:extLst>
              <c:f>'SKB422'!$G$10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5-4461-9A96-A197387D11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013088"/>
        <c:axId val="1741009344"/>
      </c:barChart>
      <c:lineChart>
        <c:grouping val="standard"/>
        <c:varyColors val="0"/>
        <c:ser>
          <c:idx val="2"/>
          <c:order val="2"/>
          <c:tx>
            <c:strRef>
              <c:f>'SKB422'!$H$9</c:f>
              <c:strCache>
                <c:ptCount val="1"/>
                <c:pt idx="0">
                  <c:v>% ELVL ANUAL POR VEHÍCULO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481528379361036E-2"/>
                  <c:y val="-0.11507458660668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55-4461-9A96-A197387D1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'SKB422'!$H$10:$H$21</c15:sqref>
                  </c15:fullRef>
                </c:ext>
              </c:extLst>
              <c:f>'SKB422'!$H$10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55-4461-9A96-A197387D11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0988960"/>
        <c:axId val="1741011008"/>
      </c:lineChart>
      <c:catAx>
        <c:axId val="174101308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41009344"/>
        <c:crosses val="autoZero"/>
        <c:auto val="1"/>
        <c:lblAlgn val="ctr"/>
        <c:lblOffset val="100"/>
        <c:noMultiLvlLbl val="0"/>
      </c:catAx>
      <c:valAx>
        <c:axId val="17410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13088"/>
        <c:crosses val="autoZero"/>
        <c:crossBetween val="between"/>
      </c:valAx>
      <c:valAx>
        <c:axId val="1741011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88960"/>
        <c:crosses val="max"/>
        <c:crossBetween val="between"/>
      </c:valAx>
      <c:catAx>
        <c:axId val="17409889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74101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13335</xdr:colOff>
      <xdr:row>5</xdr:row>
      <xdr:rowOff>152400</xdr:rowOff>
    </xdr:from>
    <xdr:ext cx="2087709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A45759B-0094-4B8C-90C8-57557F9B149C}"/>
                </a:ext>
              </a:extLst>
            </xdr:cNvPr>
            <xdr:cNvSpPr txBox="1"/>
          </xdr:nvSpPr>
          <xdr:spPr>
            <a:xfrm>
              <a:off x="10084435" y="120015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𝑐𝑜𝑛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𝑒𝑥𝑐𝑒𝑠𝑜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𝑣𝑒𝑙𝑜𝑐𝑖𝑑𝑎𝑑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∗100</m:t>
                        </m:r>
                      </m:num>
                      <m:den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</m:den>
                    </m:f>
                  </m:oMath>
                </m:oMathPara>
              </a14:m>
              <a:endParaRPr lang="es-CO" sz="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A45759B-0094-4B8C-90C8-57557F9B149C}"/>
                </a:ext>
              </a:extLst>
            </xdr:cNvPr>
            <xdr:cNvSpPr txBox="1"/>
          </xdr:nvSpPr>
          <xdr:spPr>
            <a:xfrm>
              <a:off x="10084435" y="120015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600" i="0">
                  <a:latin typeface="Cambria Math" panose="02040503050406030204" pitchFamily="18" charset="0"/>
                </a:rPr>
                <a:t>(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𝑑𝑒𝑠𝑝𝑙𝑎𝑧𝑎𝑚𝑖𝑒𝑛𝑡𝑜𝑠 𝑙𝑎𝑏𝑜𝑟𝑎𝑙𝑒𝑠 𝑐𝑜𝑛 𝑒𝑥𝑐𝑒𝑠𝑜 𝑑𝑒 𝑣𝑒𝑙𝑜𝑐𝑖𝑑𝑎𝑑 ∗100)/(𝑁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𝑡𝑜𝑡𝑎𝑙 𝑑𝑒 𝑑𝑒𝑠𝑝𝑙𝑎𝑧𝑎𝑚𝑖𝑒𝑛𝑡𝑜𝑠 𝑙𝑎𝑏𝑜𝑟𝑎𝑙𝑒𝑠)</a:t>
              </a:r>
              <a:endParaRPr lang="es-CO" sz="600"/>
            </a:p>
          </xdr:txBody>
        </xdr:sp>
      </mc:Fallback>
    </mc:AlternateContent>
    <xdr:clientData/>
  </xdr:oneCellAnchor>
  <xdr:twoCellAnchor>
    <xdr:from>
      <xdr:col>8</xdr:col>
      <xdr:colOff>17145</xdr:colOff>
      <xdr:row>8</xdr:row>
      <xdr:rowOff>7621</xdr:rowOff>
    </xdr:from>
    <xdr:to>
      <xdr:col>14</xdr:col>
      <xdr:colOff>1838325</xdr:colOff>
      <xdr:row>14</xdr:row>
      <xdr:rowOff>144781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F2479A-FFB8-4A42-9E44-7DFC6957E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14</xdr:row>
      <xdr:rowOff>133349</xdr:rowOff>
    </xdr:from>
    <xdr:to>
      <xdr:col>14</xdr:col>
      <xdr:colOff>1847850</xdr:colOff>
      <xdr:row>20</xdr:row>
      <xdr:rowOff>228600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99A9EB-0A45-4CCB-971C-8972B1AA6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184785</xdr:colOff>
      <xdr:row>1</xdr:row>
      <xdr:rowOff>70485</xdr:rowOff>
    </xdr:from>
    <xdr:to>
      <xdr:col>2</xdr:col>
      <xdr:colOff>762000</xdr:colOff>
      <xdr:row>3</xdr:row>
      <xdr:rowOff>139700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58283AF-2DAB-4674-BD32-2E0C0ED7B852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35" y="267335"/>
          <a:ext cx="1542415" cy="4248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13335</xdr:colOff>
      <xdr:row>5</xdr:row>
      <xdr:rowOff>152400</xdr:rowOff>
    </xdr:from>
    <xdr:ext cx="2087709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0974BB4-16F8-4404-ABE1-73BAAD61F03B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𝑐𝑜𝑛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𝑒𝑥𝑐𝑒𝑠𝑜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𝑣𝑒𝑙𝑜𝑐𝑖𝑑𝑎𝑑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∗100</m:t>
                        </m:r>
                      </m:num>
                      <m:den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</m:den>
                    </m:f>
                  </m:oMath>
                </m:oMathPara>
              </a14:m>
              <a:endParaRPr lang="es-CO" sz="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0974BB4-16F8-4404-ABE1-73BAAD61F03B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600" i="0">
                  <a:latin typeface="Cambria Math" panose="02040503050406030204" pitchFamily="18" charset="0"/>
                </a:rPr>
                <a:t>(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𝑑𝑒𝑠𝑝𝑙𝑎𝑧𝑎𝑚𝑖𝑒𝑛𝑡𝑜𝑠 𝑙𝑎𝑏𝑜𝑟𝑎𝑙𝑒𝑠 𝑐𝑜𝑛 𝑒𝑥𝑐𝑒𝑠𝑜 𝑑𝑒 𝑣𝑒𝑙𝑜𝑐𝑖𝑑𝑎𝑑 ∗100)/(𝑁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𝑡𝑜𝑡𝑎𝑙 𝑑𝑒 𝑑𝑒𝑠𝑝𝑙𝑎𝑧𝑎𝑚𝑖𝑒𝑛𝑡𝑜𝑠 𝑙𝑎𝑏𝑜𝑟𝑎𝑙𝑒𝑠)</a:t>
              </a:r>
              <a:endParaRPr lang="es-CO" sz="600"/>
            </a:p>
          </xdr:txBody>
        </xdr:sp>
      </mc:Fallback>
    </mc:AlternateContent>
    <xdr:clientData/>
  </xdr:oneCellAnchor>
  <xdr:twoCellAnchor>
    <xdr:from>
      <xdr:col>8</xdr:col>
      <xdr:colOff>26670</xdr:colOff>
      <xdr:row>8</xdr:row>
      <xdr:rowOff>7621</xdr:rowOff>
    </xdr:from>
    <xdr:to>
      <xdr:col>14</xdr:col>
      <xdr:colOff>1847850</xdr:colOff>
      <xdr:row>14</xdr:row>
      <xdr:rowOff>144781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387F0E-E136-4438-9CCB-C0934568F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14</xdr:row>
      <xdr:rowOff>154305</xdr:rowOff>
    </xdr:from>
    <xdr:to>
      <xdr:col>14</xdr:col>
      <xdr:colOff>1855470</xdr:colOff>
      <xdr:row>20</xdr:row>
      <xdr:rowOff>243840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249E97-872C-4DCB-BC52-E1EC87B14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184785</xdr:colOff>
      <xdr:row>1</xdr:row>
      <xdr:rowOff>70485</xdr:rowOff>
    </xdr:from>
    <xdr:to>
      <xdr:col>2</xdr:col>
      <xdr:colOff>762000</xdr:colOff>
      <xdr:row>3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8C8CF5-146A-453B-AB40-9B3CE3D9C27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35" y="267335"/>
          <a:ext cx="1542415" cy="424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13335</xdr:colOff>
      <xdr:row>5</xdr:row>
      <xdr:rowOff>152400</xdr:rowOff>
    </xdr:from>
    <xdr:ext cx="2087709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E79852B-82DC-49BF-814E-9DCBF10D1DA8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𝑐𝑜𝑛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𝑒𝑥𝑐𝑒𝑠𝑜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𝑣𝑒𝑙𝑜𝑐𝑖𝑑𝑎𝑑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∗100</m:t>
                        </m:r>
                      </m:num>
                      <m:den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</m:den>
                    </m:f>
                  </m:oMath>
                </m:oMathPara>
              </a14:m>
              <a:endParaRPr lang="es-CO" sz="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E79852B-82DC-49BF-814E-9DCBF10D1DA8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600" i="0">
                  <a:latin typeface="Cambria Math" panose="02040503050406030204" pitchFamily="18" charset="0"/>
                </a:rPr>
                <a:t>(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𝑑𝑒𝑠𝑝𝑙𝑎𝑧𝑎𝑚𝑖𝑒𝑛𝑡𝑜𝑠 𝑙𝑎𝑏𝑜𝑟𝑎𝑙𝑒𝑠 𝑐𝑜𝑛 𝑒𝑥𝑐𝑒𝑠𝑜 𝑑𝑒 𝑣𝑒𝑙𝑜𝑐𝑖𝑑𝑎𝑑 ∗100)/(𝑁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𝑡𝑜𝑡𝑎𝑙 𝑑𝑒 𝑑𝑒𝑠𝑝𝑙𝑎𝑧𝑎𝑚𝑖𝑒𝑛𝑡𝑜𝑠 𝑙𝑎𝑏𝑜𝑟𝑎𝑙𝑒𝑠)</a:t>
              </a:r>
              <a:endParaRPr lang="es-CO" sz="600"/>
            </a:p>
          </xdr:txBody>
        </xdr:sp>
      </mc:Fallback>
    </mc:AlternateContent>
    <xdr:clientData/>
  </xdr:oneCellAnchor>
  <xdr:twoCellAnchor>
    <xdr:from>
      <xdr:col>8</xdr:col>
      <xdr:colOff>26670</xdr:colOff>
      <xdr:row>8</xdr:row>
      <xdr:rowOff>7621</xdr:rowOff>
    </xdr:from>
    <xdr:to>
      <xdr:col>14</xdr:col>
      <xdr:colOff>1847850</xdr:colOff>
      <xdr:row>14</xdr:row>
      <xdr:rowOff>144781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EA92CF-56B8-4C25-891F-BF26FFAE3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14</xdr:row>
      <xdr:rowOff>154305</xdr:rowOff>
    </xdr:from>
    <xdr:to>
      <xdr:col>14</xdr:col>
      <xdr:colOff>1855470</xdr:colOff>
      <xdr:row>20</xdr:row>
      <xdr:rowOff>243840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89E1AC-009F-49BE-A236-17F27D2AE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184785</xdr:colOff>
      <xdr:row>1</xdr:row>
      <xdr:rowOff>70485</xdr:rowOff>
    </xdr:from>
    <xdr:to>
      <xdr:col>2</xdr:col>
      <xdr:colOff>762000</xdr:colOff>
      <xdr:row>3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A4FAA3-F9DE-47E5-8AAE-25D58B8BA463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35" y="267335"/>
          <a:ext cx="1542415" cy="4248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13335</xdr:colOff>
      <xdr:row>5</xdr:row>
      <xdr:rowOff>152400</xdr:rowOff>
    </xdr:from>
    <xdr:ext cx="2087709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57F17C4-CF17-4E31-A1DE-EB00F57903E9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𝑐𝑜𝑛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𝑒𝑥𝑐𝑒𝑠𝑜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𝑣𝑒𝑙𝑜𝑐𝑖𝑑𝑎𝑑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∗100</m:t>
                        </m:r>
                      </m:num>
                      <m:den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</m:den>
                    </m:f>
                  </m:oMath>
                </m:oMathPara>
              </a14:m>
              <a:endParaRPr lang="es-CO" sz="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57F17C4-CF17-4E31-A1DE-EB00F57903E9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600" i="0">
                  <a:latin typeface="Cambria Math" panose="02040503050406030204" pitchFamily="18" charset="0"/>
                </a:rPr>
                <a:t>(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𝑑𝑒𝑠𝑝𝑙𝑎𝑧𝑎𝑚𝑖𝑒𝑛𝑡𝑜𝑠 𝑙𝑎𝑏𝑜𝑟𝑎𝑙𝑒𝑠 𝑐𝑜𝑛 𝑒𝑥𝑐𝑒𝑠𝑜 𝑑𝑒 𝑣𝑒𝑙𝑜𝑐𝑖𝑑𝑎𝑑 ∗100)/(𝑁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𝑡𝑜𝑡𝑎𝑙 𝑑𝑒 𝑑𝑒𝑠𝑝𝑙𝑎𝑧𝑎𝑚𝑖𝑒𝑛𝑡𝑜𝑠 𝑙𝑎𝑏𝑜𝑟𝑎𝑙𝑒𝑠)</a:t>
              </a:r>
              <a:endParaRPr lang="es-CO" sz="600"/>
            </a:p>
          </xdr:txBody>
        </xdr:sp>
      </mc:Fallback>
    </mc:AlternateContent>
    <xdr:clientData/>
  </xdr:oneCellAnchor>
  <xdr:twoCellAnchor>
    <xdr:from>
      <xdr:col>8</xdr:col>
      <xdr:colOff>26670</xdr:colOff>
      <xdr:row>8</xdr:row>
      <xdr:rowOff>7621</xdr:rowOff>
    </xdr:from>
    <xdr:to>
      <xdr:col>14</xdr:col>
      <xdr:colOff>1847850</xdr:colOff>
      <xdr:row>14</xdr:row>
      <xdr:rowOff>144781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E271A2-AD73-485E-B36C-D83A8F389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14</xdr:row>
      <xdr:rowOff>154305</xdr:rowOff>
    </xdr:from>
    <xdr:to>
      <xdr:col>14</xdr:col>
      <xdr:colOff>1855470</xdr:colOff>
      <xdr:row>20</xdr:row>
      <xdr:rowOff>243840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DFD8C6-2AEB-4A46-9AB8-B5DFDE2DE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184785</xdr:colOff>
      <xdr:row>1</xdr:row>
      <xdr:rowOff>70485</xdr:rowOff>
    </xdr:from>
    <xdr:to>
      <xdr:col>2</xdr:col>
      <xdr:colOff>762000</xdr:colOff>
      <xdr:row>3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A81DFF-15C5-47E6-9384-DA672AB4423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35" y="267335"/>
          <a:ext cx="1542415" cy="4248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13335</xdr:colOff>
      <xdr:row>5</xdr:row>
      <xdr:rowOff>152400</xdr:rowOff>
    </xdr:from>
    <xdr:ext cx="2087709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F03369C-EEB9-4796-A306-9F8C15A6604F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𝑐𝑜𝑛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𝑒𝑥𝑐𝑒𝑠𝑜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𝑣𝑒𝑙𝑜𝑐𝑖𝑑𝑎𝑑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∗100</m:t>
                        </m:r>
                      </m:num>
                      <m:den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°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𝑑𝑒𝑠𝑝𝑙𝑎𝑧𝑎𝑚𝑖𝑒𝑛𝑡𝑜𝑠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𝑙𝑎𝑏𝑜𝑟𝑎𝑙𝑒𝑠</m:t>
                        </m:r>
                      </m:den>
                    </m:f>
                  </m:oMath>
                </m:oMathPara>
              </a14:m>
              <a:endParaRPr lang="es-CO" sz="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F03369C-EEB9-4796-A306-9F8C15A6604F}"/>
                </a:ext>
              </a:extLst>
            </xdr:cNvPr>
            <xdr:cNvSpPr txBox="1"/>
          </xdr:nvSpPr>
          <xdr:spPr>
            <a:xfrm>
              <a:off x="10084435" y="1066800"/>
              <a:ext cx="2087709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600" i="0">
                  <a:latin typeface="Cambria Math" panose="02040503050406030204" pitchFamily="18" charset="0"/>
                </a:rPr>
                <a:t>(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𝑑𝑒𝑠𝑝𝑙𝑎𝑧𝑎𝑚𝑖𝑒𝑛𝑡𝑜𝑠 𝑙𝑎𝑏𝑜𝑟𝑎𝑙𝑒𝑠 𝑐𝑜𝑛 𝑒𝑥𝑐𝑒𝑠𝑜 𝑑𝑒 𝑣𝑒𝑙𝑜𝑐𝑖𝑑𝑎𝑑 ∗100)/(𝑁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°</a:t>
              </a:r>
              <a:r>
                <a:rPr lang="es-CO" sz="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𝑡𝑜𝑡𝑎𝑙 𝑑𝑒 𝑑𝑒𝑠𝑝𝑙𝑎𝑧𝑎𝑚𝑖𝑒𝑛𝑡𝑜𝑠 𝑙𝑎𝑏𝑜𝑟𝑎𝑙𝑒𝑠)</a:t>
              </a:r>
              <a:endParaRPr lang="es-CO" sz="600"/>
            </a:p>
          </xdr:txBody>
        </xdr:sp>
      </mc:Fallback>
    </mc:AlternateContent>
    <xdr:clientData/>
  </xdr:oneCellAnchor>
  <xdr:twoCellAnchor>
    <xdr:from>
      <xdr:col>8</xdr:col>
      <xdr:colOff>26670</xdr:colOff>
      <xdr:row>8</xdr:row>
      <xdr:rowOff>7621</xdr:rowOff>
    </xdr:from>
    <xdr:to>
      <xdr:col>14</xdr:col>
      <xdr:colOff>1847850</xdr:colOff>
      <xdr:row>14</xdr:row>
      <xdr:rowOff>144781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BC333F-F428-47E7-9005-61EBC9E78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14</xdr:row>
      <xdr:rowOff>154305</xdr:rowOff>
    </xdr:from>
    <xdr:to>
      <xdr:col>14</xdr:col>
      <xdr:colOff>1855470</xdr:colOff>
      <xdr:row>20</xdr:row>
      <xdr:rowOff>243840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31F08A-FDF2-4B7E-8EF7-C5B9D1EB5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184785</xdr:colOff>
      <xdr:row>1</xdr:row>
      <xdr:rowOff>70485</xdr:rowOff>
    </xdr:from>
    <xdr:to>
      <xdr:col>2</xdr:col>
      <xdr:colOff>762000</xdr:colOff>
      <xdr:row>3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5CA8AD-E880-47B4-994C-D4932B38089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35" y="267335"/>
          <a:ext cx="1542415" cy="424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ISTADO%20MAESTRO%20DE%20DOCUMENTOS%202025/2.%20SISTEMAS%20INTEGRADOS%20DE%20GESTI&#211;N%20(SIG)/8.%20FORMATOS%20(FT)/SIG.FT-57%20Indicadores%20PESV%20V.02.xlsx" TargetMode="External"/><Relationship Id="rId1" Type="http://schemas.openxmlformats.org/officeDocument/2006/relationships/externalLinkPath" Target="/LISTADO%20MAESTRO%20DE%20DOCUMENTOS%202025/2.%20SISTEMAS%20INTEGRADOS%20DE%20GESTI&#211;N%20(SIG)/8.%20FORMATOS%20(FT)/SIG.FT-57%20Indicadores%20PESV%20V.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 TASA DE SINIESTROS VIALES"/>
      <sheetName val="2. COSTOS SINIESTROS VIALES"/>
      <sheetName val="3.1. RIESGOS DE SV"/>
      <sheetName val="3.2 GESTIÓN DE RIESGOS VIALES"/>
      <sheetName val="4. CUMPLIMIENTO METAS"/>
      <sheetName val="5. CUMPLIMIENTO PLAN ANUAL"/>
      <sheetName val="6. % EXCESO JORNADAS"/>
      <sheetName val="7. COBERTURA PROG VELOCIDAD"/>
      <sheetName val="8. EXCESOS LIM VELOCIDAD"/>
      <sheetName val="9. INSPECCIONES PREOPER"/>
      <sheetName val="10. MANTENIMIENTO PREV"/>
      <sheetName val="11. PLAN DE FORMACIÓN"/>
      <sheetName val="CONTROL DE CAMB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F9" t="str">
            <v>Desplazamientos laborales acumulados en el año</v>
          </cell>
          <cell r="G9" t="str">
            <v>Desplazamientos con excesos acumulados en el año</v>
          </cell>
          <cell r="H9" t="str">
            <v>% ELVL ANUAL POR VEHÍCULO</v>
          </cell>
        </row>
        <row r="10">
          <cell r="B10" t="str">
            <v>ENERO</v>
          </cell>
          <cell r="F10">
            <v>110000</v>
          </cell>
          <cell r="G10">
            <v>1775</v>
          </cell>
          <cell r="H10">
            <v>1.6136363636363636E-2</v>
          </cell>
        </row>
        <row r="11">
          <cell r="B11" t="str">
            <v>FEBRERO</v>
          </cell>
          <cell r="F11"/>
          <cell r="G11"/>
          <cell r="H11"/>
        </row>
        <row r="12">
          <cell r="B12" t="str">
            <v>MARZO</v>
          </cell>
          <cell r="F12"/>
          <cell r="G12"/>
          <cell r="H12"/>
        </row>
        <row r="13">
          <cell r="B13" t="str">
            <v>ABRIL</v>
          </cell>
          <cell r="F13"/>
          <cell r="G13"/>
          <cell r="H13"/>
        </row>
        <row r="14">
          <cell r="B14" t="str">
            <v>MAYO</v>
          </cell>
          <cell r="F14"/>
          <cell r="G14"/>
          <cell r="H14"/>
        </row>
        <row r="15">
          <cell r="B15" t="str">
            <v>JUNIO</v>
          </cell>
          <cell r="F15"/>
          <cell r="G15"/>
          <cell r="H15"/>
        </row>
        <row r="16">
          <cell r="B16" t="str">
            <v>JULIO</v>
          </cell>
          <cell r="F16"/>
          <cell r="G16"/>
          <cell r="H16"/>
        </row>
        <row r="17">
          <cell r="B17" t="str">
            <v>AGOSTO</v>
          </cell>
          <cell r="F17"/>
          <cell r="G17"/>
          <cell r="H17"/>
        </row>
        <row r="18">
          <cell r="B18" t="str">
            <v>SEPTIEMBRE</v>
          </cell>
          <cell r="F18"/>
          <cell r="G18"/>
          <cell r="H18"/>
        </row>
        <row r="19">
          <cell r="B19" t="str">
            <v>OCTUBRE</v>
          </cell>
          <cell r="F19"/>
          <cell r="G19"/>
          <cell r="H19"/>
        </row>
        <row r="20">
          <cell r="B20" t="str">
            <v>NOVIEMBRE</v>
          </cell>
          <cell r="F20"/>
          <cell r="G20"/>
          <cell r="H20"/>
        </row>
        <row r="21">
          <cell r="B21" t="str">
            <v>DICIEMBRE</v>
          </cell>
          <cell r="F21"/>
          <cell r="G21"/>
          <cell r="H21"/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81FA-ED51-4DA8-A389-BDFC2B173344}">
  <sheetPr>
    <tabColor theme="3" tint="0.749992370372631"/>
  </sheetPr>
  <dimension ref="A1:AC33"/>
  <sheetViews>
    <sheetView topLeftCell="A2" zoomScale="80" zoomScaleNormal="80" workbookViewId="0">
      <selection activeCell="C16" sqref="C16"/>
    </sheetView>
  </sheetViews>
  <sheetFormatPr baseColWidth="10" defaultRowHeight="14.5" x14ac:dyDescent="0.35"/>
  <cols>
    <col min="1" max="1" width="3.1796875" customWidth="1"/>
    <col min="2" max="2" width="13.81640625" customWidth="1"/>
    <col min="3" max="4" width="13.7265625" customWidth="1"/>
    <col min="5" max="5" width="12.453125" customWidth="1"/>
    <col min="6" max="7" width="13.7265625" customWidth="1"/>
    <col min="9" max="10" width="11.7265625" customWidth="1"/>
    <col min="11" max="12" width="12.7265625" customWidth="1"/>
    <col min="13" max="14" width="15.7265625" customWidth="1"/>
    <col min="15" max="15" width="28.1796875" customWidth="1"/>
    <col min="16" max="16" width="3.54296875" customWidth="1"/>
  </cols>
  <sheetData>
    <row r="1" spans="1:20" s="5" customFormat="1" ht="15.5" x14ac:dyDescent="0.25">
      <c r="A1" s="1"/>
      <c r="B1" s="2"/>
      <c r="C1" s="2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2"/>
      <c r="P1" s="3"/>
      <c r="Q1" s="4"/>
    </row>
    <row r="2" spans="1:20" s="5" customFormat="1" ht="15.5" x14ac:dyDescent="0.25">
      <c r="A2" s="6"/>
      <c r="B2" s="133"/>
      <c r="C2" s="133"/>
      <c r="D2" s="133" t="s">
        <v>0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7" t="s">
        <v>1</v>
      </c>
      <c r="P2" s="8"/>
      <c r="Q2" s="4"/>
    </row>
    <row r="3" spans="1:20" s="5" customFormat="1" ht="12.5" x14ac:dyDescent="0.25">
      <c r="A3" s="9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7" t="s">
        <v>2</v>
      </c>
      <c r="P3" s="10"/>
      <c r="Q3" s="4"/>
    </row>
    <row r="4" spans="1:20" s="5" customFormat="1" ht="15.5" x14ac:dyDescent="0.25">
      <c r="A4" s="11"/>
      <c r="B4" s="133"/>
      <c r="C4" s="133"/>
      <c r="D4" s="133" t="s">
        <v>3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2" t="s">
        <v>4</v>
      </c>
      <c r="P4" s="13"/>
      <c r="Q4" s="14"/>
    </row>
    <row r="5" spans="1:20" s="5" customFormat="1" ht="13" x14ac:dyDescent="0.25">
      <c r="A5" s="15"/>
      <c r="B5" s="129" t="s">
        <v>5</v>
      </c>
      <c r="C5" s="129"/>
      <c r="D5" s="129"/>
      <c r="E5" s="129"/>
      <c r="F5" s="129"/>
      <c r="G5" s="129"/>
      <c r="H5" s="129"/>
      <c r="I5" s="129" t="s">
        <v>6</v>
      </c>
      <c r="J5" s="129"/>
      <c r="K5" s="129" t="s">
        <v>7</v>
      </c>
      <c r="L5" s="129"/>
      <c r="M5" s="129" t="s">
        <v>8</v>
      </c>
      <c r="N5" s="129"/>
      <c r="O5" s="16" t="s">
        <v>9</v>
      </c>
      <c r="P5" s="13"/>
      <c r="Q5" s="14"/>
    </row>
    <row r="6" spans="1:20" s="5" customFormat="1" ht="30" x14ac:dyDescent="0.35">
      <c r="A6" s="6"/>
      <c r="B6" s="127" t="s">
        <v>10</v>
      </c>
      <c r="C6" s="127"/>
      <c r="D6" s="127"/>
      <c r="E6" s="127"/>
      <c r="F6" s="127"/>
      <c r="G6" s="127"/>
      <c r="H6" s="127"/>
      <c r="I6" s="127">
        <v>2026</v>
      </c>
      <c r="J6" s="127"/>
      <c r="K6" s="128" t="s">
        <v>11</v>
      </c>
      <c r="L6" s="128"/>
      <c r="M6" s="128"/>
      <c r="N6" s="128"/>
      <c r="O6" s="17" t="s">
        <v>12</v>
      </c>
      <c r="P6" s="18"/>
      <c r="Q6" s="14"/>
    </row>
    <row r="7" spans="1:20" s="5" customFormat="1" ht="13" thickBot="1" x14ac:dyDescent="0.3">
      <c r="A7" s="15"/>
      <c r="B7" s="19"/>
      <c r="C7" s="19"/>
      <c r="D7" s="19"/>
      <c r="E7" s="14"/>
      <c r="F7" s="14"/>
      <c r="G7" s="14"/>
      <c r="H7" s="14"/>
      <c r="I7" s="20"/>
      <c r="J7" s="20"/>
      <c r="K7" s="20"/>
      <c r="L7" s="20"/>
      <c r="M7" s="20"/>
      <c r="N7" s="20"/>
      <c r="O7" s="21"/>
      <c r="P7" s="13"/>
      <c r="Q7" s="14"/>
    </row>
    <row r="8" spans="1:20" s="5" customFormat="1" ht="13.5" thickBot="1" x14ac:dyDescent="0.3">
      <c r="A8" s="15"/>
      <c r="B8" s="110" t="s">
        <v>13</v>
      </c>
      <c r="C8" s="111"/>
      <c r="D8" s="111"/>
      <c r="E8" s="111"/>
      <c r="F8" s="111"/>
      <c r="G8" s="111"/>
      <c r="H8" s="112"/>
      <c r="I8" s="111" t="s">
        <v>14</v>
      </c>
      <c r="J8" s="111"/>
      <c r="K8" s="111"/>
      <c r="L8" s="111"/>
      <c r="M8" s="111"/>
      <c r="N8" s="111"/>
      <c r="O8" s="112"/>
      <c r="P8" s="13"/>
      <c r="Q8" s="14"/>
    </row>
    <row r="9" spans="1:20" s="5" customFormat="1" ht="42" x14ac:dyDescent="0.25">
      <c r="A9" s="15"/>
      <c r="B9" s="22" t="s">
        <v>15</v>
      </c>
      <c r="C9" s="23" t="s">
        <v>16</v>
      </c>
      <c r="D9" s="23" t="s">
        <v>17</v>
      </c>
      <c r="E9" s="24" t="s">
        <v>18</v>
      </c>
      <c r="F9" s="25" t="s">
        <v>19</v>
      </c>
      <c r="G9" s="25" t="s">
        <v>20</v>
      </c>
      <c r="H9" s="26" t="s">
        <v>21</v>
      </c>
      <c r="I9" s="27"/>
      <c r="J9" s="28"/>
      <c r="K9" s="29"/>
      <c r="L9" s="29"/>
      <c r="M9" s="30"/>
      <c r="N9" s="30"/>
      <c r="O9" s="31"/>
      <c r="P9" s="13"/>
      <c r="Q9" s="14"/>
      <c r="R9" s="32"/>
      <c r="S9" s="33"/>
      <c r="T9" s="34"/>
    </row>
    <row r="10" spans="1:20" s="5" customFormat="1" ht="20" x14ac:dyDescent="0.25">
      <c r="A10" s="35"/>
      <c r="B10" s="36" t="s">
        <v>22</v>
      </c>
      <c r="C10" s="37">
        <v>841.29</v>
      </c>
      <c r="D10" s="38">
        <v>423</v>
      </c>
      <c r="E10" s="39">
        <f>D10/C10</f>
        <v>0.50279927254573331</v>
      </c>
      <c r="F10" s="117">
        <f>SUM(C10:C21)</f>
        <v>12046.02</v>
      </c>
      <c r="G10" s="117">
        <f>SUM(D10:D21)</f>
        <v>4374.66</v>
      </c>
      <c r="H10" s="120">
        <f>G10/F10</f>
        <v>0.36316227268425583</v>
      </c>
      <c r="I10" s="40"/>
      <c r="J10" s="41"/>
      <c r="K10" s="19"/>
      <c r="L10" s="19"/>
      <c r="M10" s="20"/>
      <c r="N10" s="42"/>
      <c r="O10" s="43"/>
      <c r="P10" s="43"/>
      <c r="Q10" s="42"/>
      <c r="R10" s="44"/>
      <c r="S10" s="33"/>
      <c r="T10" s="32"/>
    </row>
    <row r="11" spans="1:20" s="5" customFormat="1" ht="20" x14ac:dyDescent="0.25">
      <c r="A11" s="35"/>
      <c r="B11" s="36" t="s">
        <v>23</v>
      </c>
      <c r="C11" s="37">
        <v>1434</v>
      </c>
      <c r="D11" s="45">
        <v>774</v>
      </c>
      <c r="E11" s="39">
        <f t="shared" ref="E11:E20" si="0">D11/C11</f>
        <v>0.53974895397489542</v>
      </c>
      <c r="F11" s="118"/>
      <c r="G11" s="118"/>
      <c r="H11" s="121"/>
      <c r="I11" s="40"/>
      <c r="J11" s="41"/>
      <c r="K11" s="19"/>
      <c r="L11" s="19"/>
      <c r="M11" s="20"/>
      <c r="N11" s="42"/>
      <c r="O11" s="43"/>
      <c r="P11" s="43"/>
      <c r="Q11" s="42"/>
      <c r="R11" s="46"/>
      <c r="S11" s="33"/>
      <c r="T11" s="32"/>
    </row>
    <row r="12" spans="1:20" s="5" customFormat="1" ht="20" x14ac:dyDescent="0.25">
      <c r="A12" s="35"/>
      <c r="B12" s="36" t="s">
        <v>24</v>
      </c>
      <c r="C12" s="37">
        <v>1426.19</v>
      </c>
      <c r="D12" s="38">
        <v>445.03</v>
      </c>
      <c r="E12" s="39">
        <f t="shared" si="0"/>
        <v>0.31204117263478215</v>
      </c>
      <c r="F12" s="118"/>
      <c r="G12" s="118"/>
      <c r="H12" s="121"/>
      <c r="I12" s="40"/>
      <c r="J12" s="41"/>
      <c r="K12" s="19"/>
      <c r="L12" s="19"/>
      <c r="M12" s="20"/>
      <c r="N12" s="42"/>
      <c r="O12" s="43"/>
      <c r="P12" s="43"/>
      <c r="Q12" s="42"/>
      <c r="R12" s="46"/>
      <c r="S12" s="33"/>
      <c r="T12" s="32"/>
    </row>
    <row r="13" spans="1:20" s="5" customFormat="1" ht="20" x14ac:dyDescent="0.25">
      <c r="A13" s="35"/>
      <c r="B13" s="36" t="s">
        <v>25</v>
      </c>
      <c r="C13" s="37">
        <v>3076.81</v>
      </c>
      <c r="D13" s="38">
        <v>423.43</v>
      </c>
      <c r="E13" s="39">
        <f t="shared" si="0"/>
        <v>0.13761980752792666</v>
      </c>
      <c r="F13" s="118"/>
      <c r="G13" s="118"/>
      <c r="H13" s="121"/>
      <c r="I13" s="40"/>
      <c r="J13" s="41"/>
      <c r="K13" s="19"/>
      <c r="L13" s="19"/>
      <c r="M13" s="20"/>
      <c r="N13" s="42"/>
      <c r="O13" s="43"/>
      <c r="P13" s="43"/>
      <c r="Q13" s="42"/>
      <c r="R13" s="32"/>
      <c r="S13" s="33"/>
      <c r="T13" s="32"/>
    </row>
    <row r="14" spans="1:20" s="5" customFormat="1" ht="20" x14ac:dyDescent="0.25">
      <c r="A14" s="35"/>
      <c r="B14" s="36" t="s">
        <v>26</v>
      </c>
      <c r="C14" s="37">
        <v>1774.5</v>
      </c>
      <c r="D14" s="38">
        <v>439.49</v>
      </c>
      <c r="E14" s="39">
        <f t="shared" si="0"/>
        <v>0.24766976613130459</v>
      </c>
      <c r="F14" s="118"/>
      <c r="G14" s="118"/>
      <c r="H14" s="121"/>
      <c r="I14" s="40"/>
      <c r="J14" s="41"/>
      <c r="K14" s="19"/>
      <c r="L14" s="19"/>
      <c r="M14" s="20"/>
      <c r="N14" s="42"/>
      <c r="O14" s="43"/>
      <c r="P14" s="43"/>
      <c r="Q14" s="42"/>
      <c r="R14" s="32"/>
      <c r="S14" s="33"/>
      <c r="T14" s="32"/>
    </row>
    <row r="15" spans="1:20" s="5" customFormat="1" ht="20" x14ac:dyDescent="0.25">
      <c r="A15" s="35"/>
      <c r="B15" s="36" t="s">
        <v>27</v>
      </c>
      <c r="C15" s="37">
        <v>1643.51</v>
      </c>
      <c r="D15" s="38">
        <v>751.5</v>
      </c>
      <c r="E15" s="39">
        <f>D15/C15</f>
        <v>0.45725307421311706</v>
      </c>
      <c r="F15" s="118"/>
      <c r="G15" s="118"/>
      <c r="H15" s="121"/>
      <c r="I15" s="40"/>
      <c r="J15" s="47"/>
      <c r="K15" s="19"/>
      <c r="L15" s="19"/>
      <c r="M15" s="20"/>
      <c r="N15" s="42"/>
      <c r="O15" s="43"/>
      <c r="P15" s="43"/>
      <c r="Q15" s="42"/>
      <c r="R15" s="32"/>
      <c r="S15" s="33"/>
      <c r="T15" s="32"/>
    </row>
    <row r="16" spans="1:20" s="5" customFormat="1" ht="20" x14ac:dyDescent="0.25">
      <c r="A16" s="35"/>
      <c r="B16" s="36" t="s">
        <v>28</v>
      </c>
      <c r="C16" s="37">
        <v>1849.72</v>
      </c>
      <c r="D16" s="38">
        <v>1118.21</v>
      </c>
      <c r="E16" s="39">
        <f t="shared" si="0"/>
        <v>0.60452933416949595</v>
      </c>
      <c r="F16" s="118"/>
      <c r="G16" s="118"/>
      <c r="H16" s="121"/>
      <c r="I16" s="40"/>
      <c r="J16" s="41"/>
      <c r="K16" s="19"/>
      <c r="L16" s="19"/>
      <c r="M16" s="20"/>
      <c r="N16" s="42"/>
      <c r="O16" s="43"/>
      <c r="P16" s="43"/>
      <c r="Q16" s="42"/>
      <c r="R16" s="32"/>
      <c r="S16" s="33"/>
      <c r="T16" s="32"/>
    </row>
    <row r="17" spans="1:29" s="5" customFormat="1" ht="20" x14ac:dyDescent="0.25">
      <c r="A17" s="35"/>
      <c r="B17" s="36" t="s">
        <v>29</v>
      </c>
      <c r="C17" s="37"/>
      <c r="D17" s="38"/>
      <c r="E17" s="39" t="e">
        <f>D17/C17</f>
        <v>#DIV/0!</v>
      </c>
      <c r="F17" s="118"/>
      <c r="G17" s="118"/>
      <c r="H17" s="121"/>
      <c r="I17" s="40"/>
      <c r="J17" s="41"/>
      <c r="K17" s="19"/>
      <c r="L17" s="19"/>
      <c r="M17" s="20"/>
      <c r="N17" s="42"/>
      <c r="O17" s="43"/>
      <c r="P17" s="43"/>
      <c r="Q17" s="42"/>
      <c r="R17" s="32"/>
      <c r="S17" s="33"/>
      <c r="T17" s="32"/>
    </row>
    <row r="18" spans="1:29" s="5" customFormat="1" ht="20" x14ac:dyDescent="0.25">
      <c r="A18" s="35"/>
      <c r="B18" s="36" t="s">
        <v>30</v>
      </c>
      <c r="C18" s="37"/>
      <c r="D18" s="38"/>
      <c r="E18" s="39" t="e">
        <f t="shared" si="0"/>
        <v>#DIV/0!</v>
      </c>
      <c r="F18" s="118"/>
      <c r="G18" s="118"/>
      <c r="H18" s="121"/>
      <c r="I18" s="40"/>
      <c r="J18" s="41"/>
      <c r="K18" s="19"/>
      <c r="L18" s="19"/>
      <c r="M18" s="20"/>
      <c r="N18" s="42"/>
      <c r="O18" s="43"/>
      <c r="P18" s="43"/>
      <c r="Q18" s="42"/>
      <c r="R18" s="32"/>
      <c r="S18" s="33"/>
      <c r="T18" s="32"/>
    </row>
    <row r="19" spans="1:29" s="5" customFormat="1" ht="20" x14ac:dyDescent="0.25">
      <c r="A19" s="35"/>
      <c r="B19" s="36" t="s">
        <v>31</v>
      </c>
      <c r="C19" s="37"/>
      <c r="D19" s="38"/>
      <c r="E19" s="39" t="e">
        <f t="shared" si="0"/>
        <v>#DIV/0!</v>
      </c>
      <c r="F19" s="118"/>
      <c r="G19" s="118"/>
      <c r="H19" s="121"/>
      <c r="I19" s="40"/>
      <c r="J19" s="41"/>
      <c r="K19" s="19"/>
      <c r="L19" s="19"/>
      <c r="M19" s="20"/>
      <c r="N19" s="42"/>
      <c r="O19" s="43"/>
      <c r="P19" s="43"/>
      <c r="Q19" s="42"/>
      <c r="R19" s="32"/>
      <c r="S19" s="33"/>
      <c r="T19" s="32"/>
    </row>
    <row r="20" spans="1:29" s="5" customFormat="1" ht="20" x14ac:dyDescent="0.25">
      <c r="A20" s="35"/>
      <c r="B20" s="36" t="s">
        <v>32</v>
      </c>
      <c r="C20" s="37"/>
      <c r="D20" s="38"/>
      <c r="E20" s="39" t="e">
        <f t="shared" si="0"/>
        <v>#DIV/0!</v>
      </c>
      <c r="F20" s="118"/>
      <c r="G20" s="118"/>
      <c r="H20" s="121"/>
      <c r="I20" s="40"/>
      <c r="J20" s="41"/>
      <c r="K20" s="19"/>
      <c r="L20" s="19"/>
      <c r="M20" s="20"/>
      <c r="N20" s="42"/>
      <c r="O20" s="43"/>
      <c r="P20" s="43"/>
      <c r="Q20" s="42"/>
      <c r="R20" s="32"/>
      <c r="S20" s="33"/>
      <c r="T20" s="32"/>
    </row>
    <row r="21" spans="1:29" s="5" customFormat="1" ht="20.5" thickBot="1" x14ac:dyDescent="0.3">
      <c r="A21" s="35"/>
      <c r="B21" s="48" t="s">
        <v>33</v>
      </c>
      <c r="C21" s="49"/>
      <c r="D21" s="50"/>
      <c r="E21" s="51" t="e">
        <f>D21/C21</f>
        <v>#DIV/0!</v>
      </c>
      <c r="F21" s="119"/>
      <c r="G21" s="119"/>
      <c r="H21" s="122"/>
      <c r="I21" s="52"/>
      <c r="J21" s="53"/>
      <c r="K21" s="54"/>
      <c r="L21" s="54"/>
      <c r="M21" s="55"/>
      <c r="N21" s="56"/>
      <c r="O21" s="57"/>
      <c r="P21" s="43"/>
      <c r="Q21" s="42"/>
      <c r="R21" s="32"/>
      <c r="S21" s="33"/>
      <c r="T21" s="32"/>
    </row>
    <row r="22" spans="1:29" s="5" customFormat="1" ht="13.5" thickBot="1" x14ac:dyDescent="0.3">
      <c r="A22" s="35"/>
      <c r="B22" s="58"/>
      <c r="C22" s="58"/>
      <c r="D22" s="59"/>
      <c r="E22" s="20"/>
      <c r="F22" s="20"/>
      <c r="G22" s="20"/>
      <c r="H22" s="20"/>
      <c r="I22" s="60"/>
      <c r="J22" s="61"/>
      <c r="K22" s="61"/>
      <c r="L22" s="61"/>
      <c r="M22" s="42"/>
      <c r="N22" s="42"/>
      <c r="O22" s="42"/>
      <c r="P22" s="43"/>
      <c r="Q22" s="42"/>
    </row>
    <row r="23" spans="1:29" s="5" customFormat="1" ht="13" x14ac:dyDescent="0.25">
      <c r="A23" s="15"/>
      <c r="B23" s="110" t="s">
        <v>34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2"/>
      <c r="P23" s="13"/>
      <c r="Q23" s="14"/>
    </row>
    <row r="24" spans="1:29" s="5" customFormat="1" ht="37.5" customHeight="1" thickBot="1" x14ac:dyDescent="0.3">
      <c r="A24" s="15"/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5"/>
      <c r="P24" s="13"/>
      <c r="Q24" s="14"/>
      <c r="U24" s="126"/>
      <c r="V24" s="126"/>
      <c r="W24" s="126"/>
      <c r="X24" s="126"/>
      <c r="Y24" s="126"/>
      <c r="Z24" s="126"/>
      <c r="AA24" s="126"/>
      <c r="AB24" s="126"/>
      <c r="AC24" s="126"/>
    </row>
    <row r="25" spans="1:29" s="5" customFormat="1" ht="16" thickBot="1" x14ac:dyDescent="0.3">
      <c r="A25" s="15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20"/>
      <c r="M25" s="14"/>
      <c r="N25" s="14"/>
      <c r="O25" s="14"/>
      <c r="P25" s="13"/>
      <c r="Q25" s="14"/>
      <c r="U25" s="109"/>
      <c r="V25" s="109"/>
      <c r="W25" s="109"/>
      <c r="X25" s="109"/>
      <c r="Y25" s="109"/>
      <c r="Z25" s="109"/>
      <c r="AA25" s="109"/>
      <c r="AB25" s="109"/>
      <c r="AC25" s="109"/>
    </row>
    <row r="26" spans="1:29" s="5" customFormat="1" ht="13" thickBot="1" x14ac:dyDescent="0.3">
      <c r="A26" s="15"/>
      <c r="B26" s="5" t="s">
        <v>35</v>
      </c>
      <c r="D26" s="64" t="s">
        <v>36</v>
      </c>
      <c r="E26" s="5" t="s">
        <v>37</v>
      </c>
      <c r="F26" s="65" t="s">
        <v>38</v>
      </c>
      <c r="H26" s="14" t="s">
        <v>36</v>
      </c>
      <c r="I26" s="5" t="s">
        <v>39</v>
      </c>
      <c r="K26" s="65" t="s">
        <v>40</v>
      </c>
      <c r="L26" s="14" t="s">
        <v>41</v>
      </c>
      <c r="M26" s="14" t="s">
        <v>42</v>
      </c>
      <c r="N26" s="66" t="s">
        <v>43</v>
      </c>
      <c r="O26" s="67"/>
      <c r="P26" s="13"/>
      <c r="Q26" s="14"/>
    </row>
    <row r="27" spans="1:29" s="5" customFormat="1" ht="13" thickBot="1" x14ac:dyDescent="0.3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4"/>
    </row>
    <row r="28" spans="1:29" s="5" customFormat="1" ht="13" x14ac:dyDescent="0.3">
      <c r="A28" s="15"/>
      <c r="B28" s="110" t="s">
        <v>44</v>
      </c>
      <c r="C28" s="111"/>
      <c r="D28" s="111"/>
      <c r="E28" s="111"/>
      <c r="F28" s="111"/>
      <c r="G28" s="111"/>
      <c r="H28" s="111"/>
      <c r="I28" s="111"/>
      <c r="J28" s="111"/>
      <c r="K28" s="112"/>
      <c r="M28" s="113" t="s">
        <v>45</v>
      </c>
      <c r="N28" s="114"/>
      <c r="O28" s="115"/>
      <c r="P28" s="13"/>
      <c r="Q28" s="14"/>
    </row>
    <row r="29" spans="1:29" s="5" customFormat="1" ht="12.5" x14ac:dyDescent="0.25">
      <c r="A29" s="15"/>
      <c r="B29" s="68" t="s">
        <v>46</v>
      </c>
      <c r="C29" s="69"/>
      <c r="D29" s="69"/>
      <c r="E29" s="69"/>
      <c r="F29" s="66" t="s">
        <v>47</v>
      </c>
      <c r="G29" s="66"/>
      <c r="H29" s="69"/>
      <c r="I29" s="69"/>
      <c r="J29" s="14"/>
      <c r="K29" s="70"/>
      <c r="M29" s="116" t="s">
        <v>48</v>
      </c>
      <c r="N29" s="71"/>
      <c r="O29" s="72"/>
      <c r="P29" s="13"/>
      <c r="Q29" s="14"/>
    </row>
    <row r="30" spans="1:29" s="5" customFormat="1" ht="13" x14ac:dyDescent="0.25">
      <c r="A30" s="73"/>
      <c r="B30" s="68" t="s">
        <v>49</v>
      </c>
      <c r="C30" s="74"/>
      <c r="D30" s="74"/>
      <c r="E30" s="74"/>
      <c r="F30" s="66" t="s">
        <v>50</v>
      </c>
      <c r="G30" s="66"/>
      <c r="H30" s="75"/>
      <c r="I30" s="76"/>
      <c r="J30" s="14"/>
      <c r="K30" s="70"/>
      <c r="M30" s="116"/>
      <c r="N30" s="71"/>
      <c r="O30" s="72"/>
      <c r="P30" s="77"/>
      <c r="Q30" s="78"/>
    </row>
    <row r="31" spans="1:29" s="5" customFormat="1" ht="13.5" thickBot="1" x14ac:dyDescent="0.3">
      <c r="A31" s="15"/>
      <c r="B31" s="79"/>
      <c r="C31" s="80"/>
      <c r="D31" s="80"/>
      <c r="E31" s="80"/>
      <c r="F31" s="81"/>
      <c r="G31" s="81"/>
      <c r="H31" s="81"/>
      <c r="I31" s="82"/>
      <c r="J31" s="83"/>
      <c r="K31" s="84"/>
      <c r="M31" s="85" t="s">
        <v>51</v>
      </c>
      <c r="N31" s="86"/>
      <c r="O31" s="87"/>
      <c r="P31" s="13"/>
      <c r="Q31" s="14"/>
    </row>
    <row r="32" spans="1:29" s="5" customFormat="1" ht="13" thickBot="1" x14ac:dyDescent="0.3">
      <c r="A32" s="79"/>
      <c r="B32" s="88"/>
      <c r="C32" s="88"/>
      <c r="D32" s="88"/>
      <c r="E32" s="88"/>
      <c r="F32" s="88"/>
      <c r="G32" s="88"/>
      <c r="H32" s="88"/>
      <c r="I32" s="88"/>
      <c r="J32" s="88"/>
      <c r="K32" s="55"/>
      <c r="L32" s="55"/>
      <c r="M32" s="88"/>
      <c r="N32" s="88"/>
      <c r="O32" s="88"/>
      <c r="P32" s="89"/>
      <c r="Q32" s="14"/>
    </row>
    <row r="33" s="5" customFormat="1" ht="12.5" x14ac:dyDescent="0.25"/>
  </sheetData>
  <mergeCells count="25">
    <mergeCell ref="B5:H5"/>
    <mergeCell ref="I5:J5"/>
    <mergeCell ref="K5:L5"/>
    <mergeCell ref="M5:N5"/>
    <mergeCell ref="D1:M1"/>
    <mergeCell ref="N1:O1"/>
    <mergeCell ref="B2:C4"/>
    <mergeCell ref="D2:N3"/>
    <mergeCell ref="D4:N4"/>
    <mergeCell ref="B6:H6"/>
    <mergeCell ref="I6:J6"/>
    <mergeCell ref="K6:L6"/>
    <mergeCell ref="M6:N6"/>
    <mergeCell ref="B8:H8"/>
    <mergeCell ref="I8:O8"/>
    <mergeCell ref="U25:AC25"/>
    <mergeCell ref="B28:K28"/>
    <mergeCell ref="M28:O28"/>
    <mergeCell ref="M29:M30"/>
    <mergeCell ref="F10:F21"/>
    <mergeCell ref="G10:G21"/>
    <mergeCell ref="H10:H21"/>
    <mergeCell ref="B23:O23"/>
    <mergeCell ref="B24:O24"/>
    <mergeCell ref="U24:AC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CE90-B135-41E4-8602-89ACE2464280}">
  <sheetPr>
    <tabColor theme="5" tint="0.59999389629810485"/>
  </sheetPr>
  <dimension ref="A1:AC33"/>
  <sheetViews>
    <sheetView topLeftCell="A8" workbookViewId="0">
      <selection activeCell="D16" sqref="D16"/>
    </sheetView>
  </sheetViews>
  <sheetFormatPr baseColWidth="10" defaultRowHeight="14.5" x14ac:dyDescent="0.35"/>
  <cols>
    <col min="1" max="1" width="3.1796875" customWidth="1"/>
    <col min="2" max="2" width="13.81640625" customWidth="1"/>
    <col min="3" max="4" width="13.7265625" customWidth="1"/>
    <col min="5" max="5" width="12.453125" customWidth="1"/>
    <col min="6" max="7" width="13.7265625" customWidth="1"/>
    <col min="9" max="10" width="11.7265625" customWidth="1"/>
    <col min="11" max="12" width="12.7265625" customWidth="1"/>
    <col min="13" max="14" width="15.7265625" customWidth="1"/>
    <col min="15" max="15" width="28.1796875" customWidth="1"/>
    <col min="16" max="16" width="3.54296875" customWidth="1"/>
  </cols>
  <sheetData>
    <row r="1" spans="1:20" s="5" customFormat="1" ht="15.5" x14ac:dyDescent="0.25">
      <c r="A1" s="1"/>
      <c r="B1" s="2"/>
      <c r="C1" s="2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2"/>
      <c r="P1" s="3"/>
      <c r="Q1" s="4"/>
    </row>
    <row r="2" spans="1:20" s="5" customFormat="1" ht="15.5" x14ac:dyDescent="0.25">
      <c r="A2" s="6"/>
      <c r="B2" s="133"/>
      <c r="C2" s="133"/>
      <c r="D2" s="133" t="s">
        <v>0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7" t="s">
        <v>1</v>
      </c>
      <c r="P2" s="8"/>
      <c r="Q2" s="4"/>
    </row>
    <row r="3" spans="1:20" s="5" customFormat="1" ht="12.5" x14ac:dyDescent="0.25">
      <c r="A3" s="9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7" t="s">
        <v>2</v>
      </c>
      <c r="P3" s="10"/>
      <c r="Q3" s="4"/>
    </row>
    <row r="4" spans="1:20" s="5" customFormat="1" ht="15.5" x14ac:dyDescent="0.25">
      <c r="A4" s="11"/>
      <c r="B4" s="133"/>
      <c r="C4" s="133"/>
      <c r="D4" s="133" t="s">
        <v>3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2" t="s">
        <v>4</v>
      </c>
      <c r="P4" s="13"/>
      <c r="Q4" s="14"/>
    </row>
    <row r="5" spans="1:20" s="5" customFormat="1" ht="13" x14ac:dyDescent="0.25">
      <c r="A5" s="15"/>
      <c r="B5" s="129" t="s">
        <v>5</v>
      </c>
      <c r="C5" s="129"/>
      <c r="D5" s="129"/>
      <c r="E5" s="129"/>
      <c r="F5" s="129"/>
      <c r="G5" s="129"/>
      <c r="H5" s="129"/>
      <c r="I5" s="129" t="s">
        <v>6</v>
      </c>
      <c r="J5" s="129"/>
      <c r="K5" s="129" t="s">
        <v>7</v>
      </c>
      <c r="L5" s="129"/>
      <c r="M5" s="129" t="s">
        <v>8</v>
      </c>
      <c r="N5" s="129"/>
      <c r="O5" s="16" t="s">
        <v>9</v>
      </c>
      <c r="P5" s="13"/>
      <c r="Q5" s="14"/>
    </row>
    <row r="6" spans="1:20" s="5" customFormat="1" ht="30" x14ac:dyDescent="0.35">
      <c r="A6" s="6"/>
      <c r="B6" s="127" t="s">
        <v>10</v>
      </c>
      <c r="C6" s="127"/>
      <c r="D6" s="127"/>
      <c r="E6" s="127"/>
      <c r="F6" s="127"/>
      <c r="G6" s="127"/>
      <c r="H6" s="127"/>
      <c r="I6" s="127">
        <v>2026</v>
      </c>
      <c r="J6" s="127"/>
      <c r="K6" s="128" t="s">
        <v>11</v>
      </c>
      <c r="L6" s="128"/>
      <c r="M6" s="128"/>
      <c r="N6" s="128"/>
      <c r="O6" s="17" t="s">
        <v>12</v>
      </c>
      <c r="P6" s="18"/>
      <c r="Q6" s="14"/>
    </row>
    <row r="7" spans="1:20" s="5" customFormat="1" ht="13" thickBot="1" x14ac:dyDescent="0.3">
      <c r="A7" s="15"/>
      <c r="B7" s="19"/>
      <c r="C7" s="19"/>
      <c r="D7" s="19"/>
      <c r="E7" s="14"/>
      <c r="F7" s="14"/>
      <c r="G7" s="14"/>
      <c r="H7" s="14"/>
      <c r="I7" s="20"/>
      <c r="J7" s="20"/>
      <c r="K7" s="20"/>
      <c r="L7" s="20"/>
      <c r="M7" s="20"/>
      <c r="N7" s="20"/>
      <c r="O7" s="21"/>
      <c r="P7" s="13"/>
      <c r="Q7" s="14"/>
    </row>
    <row r="8" spans="1:20" s="5" customFormat="1" ht="13.5" thickBot="1" x14ac:dyDescent="0.3">
      <c r="A8" s="15"/>
      <c r="B8" s="110" t="s">
        <v>13</v>
      </c>
      <c r="C8" s="111"/>
      <c r="D8" s="111"/>
      <c r="E8" s="111"/>
      <c r="F8" s="111"/>
      <c r="G8" s="111"/>
      <c r="H8" s="112"/>
      <c r="I8" s="111" t="s">
        <v>14</v>
      </c>
      <c r="J8" s="111"/>
      <c r="K8" s="111"/>
      <c r="L8" s="111"/>
      <c r="M8" s="111"/>
      <c r="N8" s="111"/>
      <c r="O8" s="112"/>
      <c r="P8" s="13"/>
      <c r="Q8" s="14"/>
    </row>
    <row r="9" spans="1:20" s="5" customFormat="1" ht="42" x14ac:dyDescent="0.25">
      <c r="A9" s="15"/>
      <c r="B9" s="22" t="s">
        <v>15</v>
      </c>
      <c r="C9" s="23" t="s">
        <v>16</v>
      </c>
      <c r="D9" s="23" t="s">
        <v>17</v>
      </c>
      <c r="E9" s="24" t="s">
        <v>18</v>
      </c>
      <c r="F9" s="25" t="s">
        <v>19</v>
      </c>
      <c r="G9" s="25" t="s">
        <v>20</v>
      </c>
      <c r="H9" s="26" t="s">
        <v>21</v>
      </c>
      <c r="I9" s="27"/>
      <c r="J9" s="28"/>
      <c r="K9" s="29"/>
      <c r="L9" s="29"/>
      <c r="M9" s="30"/>
      <c r="N9" s="30"/>
      <c r="O9" s="31"/>
      <c r="P9" s="13"/>
      <c r="Q9" s="14"/>
      <c r="R9" s="32"/>
      <c r="S9" s="33"/>
      <c r="T9" s="34"/>
    </row>
    <row r="10" spans="1:20" s="5" customFormat="1" ht="20" x14ac:dyDescent="0.25">
      <c r="A10" s="35"/>
      <c r="B10" s="36" t="s">
        <v>22</v>
      </c>
      <c r="C10" s="37">
        <v>0</v>
      </c>
      <c r="D10" s="38">
        <v>0</v>
      </c>
      <c r="E10" s="39" t="e">
        <f>D10/C10</f>
        <v>#DIV/0!</v>
      </c>
      <c r="F10" s="117">
        <f>SUM(C10:C21)</f>
        <v>579.41999999999996</v>
      </c>
      <c r="G10" s="117">
        <f>SUM(D10:D21)</f>
        <v>355.58000000000004</v>
      </c>
      <c r="H10" s="120">
        <f>G10/F10</f>
        <v>0.61368264816540685</v>
      </c>
      <c r="I10" s="40"/>
      <c r="J10" s="41"/>
      <c r="K10" s="19"/>
      <c r="L10" s="19"/>
      <c r="M10" s="20"/>
      <c r="N10" s="42"/>
      <c r="O10" s="43"/>
      <c r="P10" s="43"/>
      <c r="Q10" s="42"/>
      <c r="R10" s="44"/>
      <c r="S10" s="33"/>
      <c r="T10" s="32"/>
    </row>
    <row r="11" spans="1:20" s="5" customFormat="1" ht="20" x14ac:dyDescent="0.25">
      <c r="A11" s="35"/>
      <c r="B11" s="36" t="s">
        <v>23</v>
      </c>
      <c r="C11" s="37">
        <v>0</v>
      </c>
      <c r="D11" s="45">
        <v>0</v>
      </c>
      <c r="E11" s="39" t="e">
        <f t="shared" ref="E11:E21" si="0">D11/C11</f>
        <v>#DIV/0!</v>
      </c>
      <c r="F11" s="118"/>
      <c r="G11" s="118"/>
      <c r="H11" s="121"/>
      <c r="I11" s="40"/>
      <c r="J11" s="41"/>
      <c r="K11" s="19"/>
      <c r="L11" s="19"/>
      <c r="M11" s="20"/>
      <c r="N11" s="42"/>
      <c r="O11" s="43"/>
      <c r="P11" s="43"/>
      <c r="Q11" s="42"/>
      <c r="R11" s="46"/>
      <c r="S11" s="33"/>
      <c r="T11" s="32"/>
    </row>
    <row r="12" spans="1:20" s="5" customFormat="1" ht="20" x14ac:dyDescent="0.25">
      <c r="A12" s="35"/>
      <c r="B12" s="36" t="s">
        <v>24</v>
      </c>
      <c r="C12" s="37">
        <v>0</v>
      </c>
      <c r="D12" s="38">
        <v>0</v>
      </c>
      <c r="E12" s="39" t="e">
        <f t="shared" si="0"/>
        <v>#DIV/0!</v>
      </c>
      <c r="F12" s="118"/>
      <c r="G12" s="118"/>
      <c r="H12" s="121"/>
      <c r="I12" s="40"/>
      <c r="J12" s="41"/>
      <c r="K12" s="19"/>
      <c r="L12" s="19"/>
      <c r="M12" s="20"/>
      <c r="N12" s="42"/>
      <c r="O12" s="43"/>
      <c r="P12" s="43"/>
      <c r="Q12" s="42"/>
      <c r="R12" s="46"/>
      <c r="S12" s="33"/>
      <c r="T12" s="32"/>
    </row>
    <row r="13" spans="1:20" s="5" customFormat="1" ht="20" x14ac:dyDescent="0.25">
      <c r="A13" s="35"/>
      <c r="B13" s="36" t="s">
        <v>25</v>
      </c>
      <c r="C13" s="37">
        <v>0</v>
      </c>
      <c r="D13" s="38">
        <v>0</v>
      </c>
      <c r="E13" s="39" t="e">
        <f t="shared" si="0"/>
        <v>#DIV/0!</v>
      </c>
      <c r="F13" s="118"/>
      <c r="G13" s="118"/>
      <c r="H13" s="121"/>
      <c r="I13" s="40"/>
      <c r="J13" s="41"/>
      <c r="K13" s="19"/>
      <c r="L13" s="19"/>
      <c r="M13" s="20"/>
      <c r="N13" s="42"/>
      <c r="O13" s="43"/>
      <c r="P13" s="43"/>
      <c r="Q13" s="42"/>
      <c r="R13" s="32"/>
      <c r="S13" s="33"/>
      <c r="T13" s="32"/>
    </row>
    <row r="14" spans="1:20" s="5" customFormat="1" ht="20" x14ac:dyDescent="0.25">
      <c r="A14" s="35"/>
      <c r="B14" s="36" t="s">
        <v>26</v>
      </c>
      <c r="C14" s="37">
        <v>417.02</v>
      </c>
      <c r="D14" s="38">
        <v>300.3</v>
      </c>
      <c r="E14" s="39">
        <f t="shared" si="0"/>
        <v>0.72010934727351217</v>
      </c>
      <c r="F14" s="118"/>
      <c r="G14" s="118"/>
      <c r="H14" s="121"/>
      <c r="I14" s="40"/>
      <c r="J14" s="41"/>
      <c r="K14" s="19"/>
      <c r="L14" s="19"/>
      <c r="M14" s="20"/>
      <c r="N14" s="42"/>
      <c r="O14" s="43"/>
      <c r="P14" s="43"/>
      <c r="Q14" s="42"/>
      <c r="R14" s="32"/>
      <c r="S14" s="33"/>
      <c r="T14" s="32"/>
    </row>
    <row r="15" spans="1:20" s="5" customFormat="1" ht="20" x14ac:dyDescent="0.25">
      <c r="A15" s="35"/>
      <c r="B15" s="36" t="s">
        <v>27</v>
      </c>
      <c r="C15" s="37">
        <v>0</v>
      </c>
      <c r="D15" s="38">
        <v>0</v>
      </c>
      <c r="E15" s="39" t="e">
        <f t="shared" si="0"/>
        <v>#DIV/0!</v>
      </c>
      <c r="F15" s="118"/>
      <c r="G15" s="118"/>
      <c r="H15" s="121"/>
      <c r="I15" s="40"/>
      <c r="J15" s="47"/>
      <c r="K15" s="19"/>
      <c r="L15" s="19"/>
      <c r="M15" s="20"/>
      <c r="N15" s="42"/>
      <c r="O15" s="43"/>
      <c r="P15" s="43"/>
      <c r="Q15" s="42"/>
      <c r="R15" s="32"/>
      <c r="S15" s="33"/>
      <c r="T15" s="32"/>
    </row>
    <row r="16" spans="1:20" s="5" customFormat="1" ht="20" x14ac:dyDescent="0.25">
      <c r="A16" s="35"/>
      <c r="B16" s="36" t="s">
        <v>28</v>
      </c>
      <c r="C16" s="37">
        <v>162.4</v>
      </c>
      <c r="D16" s="38">
        <v>55.28</v>
      </c>
      <c r="E16" s="39">
        <f t="shared" si="0"/>
        <v>0.34039408866995075</v>
      </c>
      <c r="F16" s="118"/>
      <c r="G16" s="118"/>
      <c r="H16" s="121"/>
      <c r="I16" s="40"/>
      <c r="J16" s="41"/>
      <c r="K16" s="19"/>
      <c r="L16" s="19"/>
      <c r="M16" s="20"/>
      <c r="N16" s="42"/>
      <c r="O16" s="43"/>
      <c r="P16" s="43"/>
      <c r="Q16" s="42"/>
      <c r="R16" s="32"/>
      <c r="S16" s="33"/>
      <c r="T16" s="32"/>
    </row>
    <row r="17" spans="1:29" s="5" customFormat="1" ht="20" x14ac:dyDescent="0.25">
      <c r="A17" s="35"/>
      <c r="B17" s="36" t="s">
        <v>29</v>
      </c>
      <c r="C17" s="37"/>
      <c r="D17" s="38"/>
      <c r="E17" s="39" t="e">
        <f t="shared" si="0"/>
        <v>#DIV/0!</v>
      </c>
      <c r="F17" s="118"/>
      <c r="G17" s="118"/>
      <c r="H17" s="121"/>
      <c r="I17" s="40"/>
      <c r="J17" s="41"/>
      <c r="K17" s="19"/>
      <c r="L17" s="19"/>
      <c r="M17" s="20"/>
      <c r="N17" s="42"/>
      <c r="O17" s="43"/>
      <c r="P17" s="43"/>
      <c r="Q17" s="42"/>
      <c r="R17" s="32"/>
      <c r="S17" s="33"/>
      <c r="T17" s="32"/>
    </row>
    <row r="18" spans="1:29" s="5" customFormat="1" ht="20" x14ac:dyDescent="0.25">
      <c r="A18" s="35"/>
      <c r="B18" s="36" t="s">
        <v>30</v>
      </c>
      <c r="C18" s="37"/>
      <c r="D18" s="38"/>
      <c r="E18" s="39" t="e">
        <f t="shared" si="0"/>
        <v>#DIV/0!</v>
      </c>
      <c r="F18" s="118"/>
      <c r="G18" s="118"/>
      <c r="H18" s="121"/>
      <c r="I18" s="40"/>
      <c r="J18" s="41"/>
      <c r="K18" s="19"/>
      <c r="L18" s="19"/>
      <c r="M18" s="20"/>
      <c r="N18" s="42"/>
      <c r="O18" s="43"/>
      <c r="P18" s="43"/>
      <c r="Q18" s="42"/>
      <c r="R18" s="32"/>
      <c r="S18" s="33"/>
      <c r="T18" s="32"/>
    </row>
    <row r="19" spans="1:29" s="5" customFormat="1" ht="20" x14ac:dyDescent="0.25">
      <c r="A19" s="35"/>
      <c r="B19" s="36" t="s">
        <v>31</v>
      </c>
      <c r="C19" s="37"/>
      <c r="D19" s="38"/>
      <c r="E19" s="39" t="e">
        <f t="shared" si="0"/>
        <v>#DIV/0!</v>
      </c>
      <c r="F19" s="118"/>
      <c r="G19" s="118"/>
      <c r="H19" s="121"/>
      <c r="I19" s="40"/>
      <c r="J19" s="41"/>
      <c r="K19" s="19"/>
      <c r="L19" s="19"/>
      <c r="M19" s="20"/>
      <c r="N19" s="42"/>
      <c r="O19" s="43"/>
      <c r="P19" s="43"/>
      <c r="Q19" s="42"/>
      <c r="R19" s="32"/>
      <c r="S19" s="33"/>
      <c r="T19" s="32"/>
    </row>
    <row r="20" spans="1:29" s="5" customFormat="1" ht="20" x14ac:dyDescent="0.25">
      <c r="A20" s="35"/>
      <c r="B20" s="36" t="s">
        <v>32</v>
      </c>
      <c r="C20" s="37"/>
      <c r="D20" s="38"/>
      <c r="E20" s="39" t="e">
        <f t="shared" si="0"/>
        <v>#DIV/0!</v>
      </c>
      <c r="F20" s="118"/>
      <c r="G20" s="118"/>
      <c r="H20" s="121"/>
      <c r="I20" s="40"/>
      <c r="J20" s="41"/>
      <c r="K20" s="19"/>
      <c r="L20" s="19"/>
      <c r="M20" s="20"/>
      <c r="N20" s="42"/>
      <c r="O20" s="43"/>
      <c r="P20" s="43"/>
      <c r="Q20" s="42"/>
      <c r="R20" s="32"/>
      <c r="S20" s="33"/>
      <c r="T20" s="32"/>
    </row>
    <row r="21" spans="1:29" s="5" customFormat="1" ht="20.5" thickBot="1" x14ac:dyDescent="0.3">
      <c r="A21" s="35"/>
      <c r="B21" s="48" t="s">
        <v>33</v>
      </c>
      <c r="C21" s="49"/>
      <c r="D21" s="50"/>
      <c r="E21" s="51" t="e">
        <f t="shared" si="0"/>
        <v>#DIV/0!</v>
      </c>
      <c r="F21" s="119"/>
      <c r="G21" s="119"/>
      <c r="H21" s="122"/>
      <c r="I21" s="52"/>
      <c r="J21" s="53"/>
      <c r="K21" s="54"/>
      <c r="L21" s="54"/>
      <c r="M21" s="55"/>
      <c r="N21" s="56"/>
      <c r="O21" s="57"/>
      <c r="P21" s="43"/>
      <c r="Q21" s="42"/>
      <c r="R21" s="32"/>
      <c r="S21" s="33"/>
      <c r="T21" s="32"/>
    </row>
    <row r="22" spans="1:29" s="5" customFormat="1" ht="13.5" thickBot="1" x14ac:dyDescent="0.3">
      <c r="A22" s="35"/>
      <c r="B22" s="58"/>
      <c r="C22" s="58"/>
      <c r="D22" s="59"/>
      <c r="E22" s="20"/>
      <c r="F22" s="20"/>
      <c r="G22" s="20"/>
      <c r="H22" s="20"/>
      <c r="I22" s="60"/>
      <c r="J22" s="61"/>
      <c r="K22" s="61"/>
      <c r="L22" s="61"/>
      <c r="M22" s="42"/>
      <c r="N22" s="42"/>
      <c r="O22" s="42"/>
      <c r="P22" s="43"/>
      <c r="Q22" s="42"/>
    </row>
    <row r="23" spans="1:29" s="5" customFormat="1" ht="13" x14ac:dyDescent="0.25">
      <c r="A23" s="15"/>
      <c r="B23" s="110" t="s">
        <v>34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2"/>
      <c r="P23" s="13"/>
      <c r="Q23" s="14"/>
    </row>
    <row r="24" spans="1:29" s="5" customFormat="1" ht="38.25" customHeight="1" thickBot="1" x14ac:dyDescent="0.3">
      <c r="A24" s="15"/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5"/>
      <c r="P24" s="13"/>
      <c r="Q24" s="14"/>
      <c r="U24" s="126"/>
      <c r="V24" s="126"/>
      <c r="W24" s="126"/>
      <c r="X24" s="126"/>
      <c r="Y24" s="126"/>
      <c r="Z24" s="126"/>
      <c r="AA24" s="126"/>
      <c r="AB24" s="126"/>
      <c r="AC24" s="126"/>
    </row>
    <row r="25" spans="1:29" s="5" customFormat="1" ht="16" thickBot="1" x14ac:dyDescent="0.3">
      <c r="A25" s="15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20"/>
      <c r="M25" s="14"/>
      <c r="N25" s="14"/>
      <c r="O25" s="14"/>
      <c r="P25" s="13"/>
      <c r="Q25" s="14"/>
      <c r="U25" s="109"/>
      <c r="V25" s="109"/>
      <c r="W25" s="109"/>
      <c r="X25" s="109"/>
      <c r="Y25" s="109"/>
      <c r="Z25" s="109"/>
      <c r="AA25" s="109"/>
      <c r="AB25" s="109"/>
      <c r="AC25" s="109"/>
    </row>
    <row r="26" spans="1:29" s="5" customFormat="1" ht="13" thickBot="1" x14ac:dyDescent="0.3">
      <c r="A26" s="15"/>
      <c r="B26" s="5" t="s">
        <v>35</v>
      </c>
      <c r="D26" s="64" t="s">
        <v>36</v>
      </c>
      <c r="E26" s="5" t="s">
        <v>37</v>
      </c>
      <c r="F26" s="65" t="s">
        <v>38</v>
      </c>
      <c r="H26" s="14" t="s">
        <v>36</v>
      </c>
      <c r="I26" s="5" t="s">
        <v>39</v>
      </c>
      <c r="K26" s="65" t="s">
        <v>40</v>
      </c>
      <c r="L26" s="14" t="s">
        <v>41</v>
      </c>
      <c r="M26" s="14" t="s">
        <v>42</v>
      </c>
      <c r="N26" s="66" t="s">
        <v>43</v>
      </c>
      <c r="O26" s="67"/>
      <c r="P26" s="13"/>
      <c r="Q26" s="14"/>
    </row>
    <row r="27" spans="1:29" s="5" customFormat="1" ht="13" thickBot="1" x14ac:dyDescent="0.3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4"/>
    </row>
    <row r="28" spans="1:29" s="5" customFormat="1" ht="13" x14ac:dyDescent="0.3">
      <c r="A28" s="15"/>
      <c r="B28" s="110" t="s">
        <v>44</v>
      </c>
      <c r="C28" s="111"/>
      <c r="D28" s="111"/>
      <c r="E28" s="111"/>
      <c r="F28" s="111"/>
      <c r="G28" s="111"/>
      <c r="H28" s="111"/>
      <c r="I28" s="111"/>
      <c r="J28" s="111"/>
      <c r="K28" s="112"/>
      <c r="M28" s="113" t="s">
        <v>45</v>
      </c>
      <c r="N28" s="114"/>
      <c r="O28" s="115"/>
      <c r="P28" s="13"/>
      <c r="Q28" s="14"/>
    </row>
    <row r="29" spans="1:29" s="5" customFormat="1" ht="12.5" x14ac:dyDescent="0.25">
      <c r="A29" s="15"/>
      <c r="B29" s="68" t="s">
        <v>46</v>
      </c>
      <c r="C29" s="69"/>
      <c r="D29" s="69"/>
      <c r="E29" s="69"/>
      <c r="F29" s="66" t="s">
        <v>47</v>
      </c>
      <c r="G29" s="66"/>
      <c r="H29" s="69"/>
      <c r="I29" s="69"/>
      <c r="J29" s="14"/>
      <c r="K29" s="70"/>
      <c r="M29" s="116" t="s">
        <v>48</v>
      </c>
      <c r="N29" s="71"/>
      <c r="O29" s="72"/>
      <c r="P29" s="13"/>
      <c r="Q29" s="14"/>
    </row>
    <row r="30" spans="1:29" s="5" customFormat="1" ht="13" x14ac:dyDescent="0.25">
      <c r="A30" s="73"/>
      <c r="B30" s="68" t="s">
        <v>49</v>
      </c>
      <c r="C30" s="74"/>
      <c r="D30" s="74"/>
      <c r="E30" s="74"/>
      <c r="F30" s="66" t="s">
        <v>50</v>
      </c>
      <c r="G30" s="66"/>
      <c r="H30" s="75"/>
      <c r="I30" s="76"/>
      <c r="J30" s="14"/>
      <c r="K30" s="70"/>
      <c r="M30" s="116"/>
      <c r="N30" s="71"/>
      <c r="O30" s="72"/>
      <c r="P30" s="77"/>
      <c r="Q30" s="78"/>
    </row>
    <row r="31" spans="1:29" s="5" customFormat="1" ht="13.5" thickBot="1" x14ac:dyDescent="0.3">
      <c r="A31" s="15"/>
      <c r="B31" s="79"/>
      <c r="C31" s="80"/>
      <c r="D31" s="80"/>
      <c r="E31" s="80"/>
      <c r="F31" s="81"/>
      <c r="G31" s="81"/>
      <c r="H31" s="81"/>
      <c r="I31" s="82"/>
      <c r="J31" s="83"/>
      <c r="K31" s="84"/>
      <c r="M31" s="85" t="s">
        <v>51</v>
      </c>
      <c r="N31" s="86"/>
      <c r="O31" s="87"/>
      <c r="P31" s="13"/>
      <c r="Q31" s="14"/>
    </row>
    <row r="32" spans="1:29" s="5" customFormat="1" ht="13" thickBot="1" x14ac:dyDescent="0.3">
      <c r="A32" s="79"/>
      <c r="B32" s="88"/>
      <c r="C32" s="88"/>
      <c r="D32" s="88"/>
      <c r="E32" s="88"/>
      <c r="F32" s="88"/>
      <c r="G32" s="88"/>
      <c r="H32" s="88"/>
      <c r="I32" s="88"/>
      <c r="J32" s="88"/>
      <c r="K32" s="55"/>
      <c r="L32" s="55"/>
      <c r="M32" s="88"/>
      <c r="N32" s="88"/>
      <c r="O32" s="88"/>
      <c r="P32" s="89"/>
      <c r="Q32" s="14"/>
    </row>
    <row r="33" s="5" customFormat="1" ht="12.5" x14ac:dyDescent="0.25"/>
  </sheetData>
  <mergeCells count="25">
    <mergeCell ref="B5:H5"/>
    <mergeCell ref="I5:J5"/>
    <mergeCell ref="K5:L5"/>
    <mergeCell ref="M5:N5"/>
    <mergeCell ref="D1:M1"/>
    <mergeCell ref="N1:O1"/>
    <mergeCell ref="B2:C4"/>
    <mergeCell ref="D2:N3"/>
    <mergeCell ref="D4:N4"/>
    <mergeCell ref="B6:H6"/>
    <mergeCell ref="I6:J6"/>
    <mergeCell ref="K6:L6"/>
    <mergeCell ref="M6:N6"/>
    <mergeCell ref="B8:H8"/>
    <mergeCell ref="I8:O8"/>
    <mergeCell ref="U25:AC25"/>
    <mergeCell ref="B28:K28"/>
    <mergeCell ref="M28:O28"/>
    <mergeCell ref="M29:M30"/>
    <mergeCell ref="F10:F21"/>
    <mergeCell ref="G10:G21"/>
    <mergeCell ref="H10:H21"/>
    <mergeCell ref="B23:O23"/>
    <mergeCell ref="B24:O24"/>
    <mergeCell ref="U24:AC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0844-BF4D-4907-BA92-E7175E94A00D}">
  <sheetPr>
    <tabColor theme="6" tint="0.59999389629810485"/>
  </sheetPr>
  <dimension ref="A1:AC33"/>
  <sheetViews>
    <sheetView tabSelected="1" topLeftCell="A10" workbookViewId="0">
      <selection activeCell="C19" sqref="C19"/>
    </sheetView>
  </sheetViews>
  <sheetFormatPr baseColWidth="10" defaultRowHeight="14.5" x14ac:dyDescent="0.35"/>
  <cols>
    <col min="1" max="1" width="3.1796875" customWidth="1"/>
    <col min="2" max="2" width="13.81640625" customWidth="1"/>
    <col min="3" max="4" width="13.7265625" customWidth="1"/>
    <col min="5" max="5" width="12.453125" customWidth="1"/>
    <col min="6" max="7" width="13.7265625" customWidth="1"/>
    <col min="9" max="10" width="11.7265625" customWidth="1"/>
    <col min="11" max="12" width="12.7265625" customWidth="1"/>
    <col min="13" max="14" width="15.7265625" customWidth="1"/>
    <col min="15" max="15" width="28.1796875" customWidth="1"/>
    <col min="16" max="16" width="3.54296875" customWidth="1"/>
  </cols>
  <sheetData>
    <row r="1" spans="1:20" s="5" customFormat="1" ht="15.5" x14ac:dyDescent="0.25">
      <c r="A1" s="1"/>
      <c r="B1" s="2"/>
      <c r="C1" s="2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2"/>
      <c r="P1" s="3"/>
      <c r="Q1" s="4"/>
    </row>
    <row r="2" spans="1:20" s="5" customFormat="1" ht="15.5" x14ac:dyDescent="0.25">
      <c r="A2" s="6"/>
      <c r="B2" s="133"/>
      <c r="C2" s="133"/>
      <c r="D2" s="133" t="s">
        <v>0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7" t="s">
        <v>1</v>
      </c>
      <c r="P2" s="8"/>
      <c r="Q2" s="4"/>
    </row>
    <row r="3" spans="1:20" s="5" customFormat="1" ht="12.5" x14ac:dyDescent="0.25">
      <c r="A3" s="9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7" t="s">
        <v>2</v>
      </c>
      <c r="P3" s="10"/>
      <c r="Q3" s="4"/>
    </row>
    <row r="4" spans="1:20" s="5" customFormat="1" ht="15.5" x14ac:dyDescent="0.25">
      <c r="A4" s="11"/>
      <c r="B4" s="133"/>
      <c r="C4" s="133"/>
      <c r="D4" s="133" t="s">
        <v>3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2" t="s">
        <v>4</v>
      </c>
      <c r="P4" s="13"/>
      <c r="Q4" s="14"/>
    </row>
    <row r="5" spans="1:20" s="5" customFormat="1" ht="13" x14ac:dyDescent="0.25">
      <c r="A5" s="15"/>
      <c r="B5" s="129" t="s">
        <v>5</v>
      </c>
      <c r="C5" s="129"/>
      <c r="D5" s="129"/>
      <c r="E5" s="129"/>
      <c r="F5" s="129"/>
      <c r="G5" s="129"/>
      <c r="H5" s="129"/>
      <c r="I5" s="129" t="s">
        <v>6</v>
      </c>
      <c r="J5" s="129"/>
      <c r="K5" s="129" t="s">
        <v>7</v>
      </c>
      <c r="L5" s="129"/>
      <c r="M5" s="129" t="s">
        <v>8</v>
      </c>
      <c r="N5" s="129"/>
      <c r="O5" s="16" t="s">
        <v>9</v>
      </c>
      <c r="P5" s="13"/>
      <c r="Q5" s="14"/>
    </row>
    <row r="6" spans="1:20" s="5" customFormat="1" ht="30" x14ac:dyDescent="0.35">
      <c r="A6" s="6"/>
      <c r="B6" s="127" t="s">
        <v>10</v>
      </c>
      <c r="C6" s="127"/>
      <c r="D6" s="127"/>
      <c r="E6" s="127"/>
      <c r="F6" s="127"/>
      <c r="G6" s="127"/>
      <c r="H6" s="127"/>
      <c r="I6" s="127">
        <v>2026</v>
      </c>
      <c r="J6" s="127"/>
      <c r="K6" s="128" t="s">
        <v>11</v>
      </c>
      <c r="L6" s="128"/>
      <c r="M6" s="128"/>
      <c r="N6" s="128"/>
      <c r="O6" s="17" t="s">
        <v>12</v>
      </c>
      <c r="P6" s="18"/>
      <c r="Q6" s="14"/>
    </row>
    <row r="7" spans="1:20" s="5" customFormat="1" ht="13" thickBot="1" x14ac:dyDescent="0.3">
      <c r="A7" s="15"/>
      <c r="B7" s="19"/>
      <c r="C7" s="19"/>
      <c r="D7" s="19"/>
      <c r="E7" s="14"/>
      <c r="F7" s="14"/>
      <c r="G7" s="14"/>
      <c r="H7" s="14"/>
      <c r="I7" s="20"/>
      <c r="J7" s="20"/>
      <c r="K7" s="20"/>
      <c r="L7" s="20"/>
      <c r="M7" s="20"/>
      <c r="N7" s="20"/>
      <c r="O7" s="21"/>
      <c r="P7" s="13"/>
      <c r="Q7" s="14"/>
    </row>
    <row r="8" spans="1:20" s="5" customFormat="1" ht="13.5" thickBot="1" x14ac:dyDescent="0.3">
      <c r="A8" s="15"/>
      <c r="B8" s="110" t="s">
        <v>13</v>
      </c>
      <c r="C8" s="111"/>
      <c r="D8" s="111"/>
      <c r="E8" s="111"/>
      <c r="F8" s="111"/>
      <c r="G8" s="111"/>
      <c r="H8" s="112"/>
      <c r="I8" s="111" t="s">
        <v>14</v>
      </c>
      <c r="J8" s="111"/>
      <c r="K8" s="111"/>
      <c r="L8" s="111"/>
      <c r="M8" s="111"/>
      <c r="N8" s="111"/>
      <c r="O8" s="112"/>
      <c r="P8" s="13"/>
      <c r="Q8" s="14"/>
    </row>
    <row r="9" spans="1:20" s="5" customFormat="1" ht="42" x14ac:dyDescent="0.25">
      <c r="A9" s="15"/>
      <c r="B9" s="22" t="s">
        <v>15</v>
      </c>
      <c r="C9" s="23" t="s">
        <v>16</v>
      </c>
      <c r="D9" s="23" t="s">
        <v>17</v>
      </c>
      <c r="E9" s="24" t="s">
        <v>18</v>
      </c>
      <c r="F9" s="25" t="s">
        <v>19</v>
      </c>
      <c r="G9" s="25" t="s">
        <v>20</v>
      </c>
      <c r="H9" s="26" t="s">
        <v>21</v>
      </c>
      <c r="I9" s="27"/>
      <c r="J9" s="28"/>
      <c r="K9" s="29"/>
      <c r="L9" s="29"/>
      <c r="M9" s="30"/>
      <c r="N9" s="30"/>
      <c r="O9" s="31"/>
      <c r="P9" s="13"/>
      <c r="Q9" s="14"/>
      <c r="R9" s="32"/>
      <c r="S9" s="33"/>
      <c r="T9" s="34"/>
    </row>
    <row r="10" spans="1:20" s="5" customFormat="1" ht="20" x14ac:dyDescent="0.25">
      <c r="A10" s="35"/>
      <c r="B10" s="36" t="s">
        <v>22</v>
      </c>
      <c r="C10" s="37">
        <v>1751.47</v>
      </c>
      <c r="D10" s="38">
        <v>109</v>
      </c>
      <c r="E10" s="39">
        <f>D10/C10</f>
        <v>6.2233438197628277E-2</v>
      </c>
      <c r="F10" s="117">
        <f>SUM(C10:C21)</f>
        <v>3188.3</v>
      </c>
      <c r="G10" s="117">
        <f>SUM(D10:D21)</f>
        <v>136.54</v>
      </c>
      <c r="H10" s="120">
        <f>G10/F10</f>
        <v>4.2825330113226479E-2</v>
      </c>
      <c r="I10" s="40"/>
      <c r="J10" s="41"/>
      <c r="K10" s="19"/>
      <c r="L10" s="19"/>
      <c r="M10" s="20"/>
      <c r="N10" s="42"/>
      <c r="O10" s="43"/>
      <c r="P10" s="43"/>
      <c r="Q10" s="42"/>
      <c r="R10" s="44"/>
      <c r="S10" s="33"/>
      <c r="T10" s="32"/>
    </row>
    <row r="11" spans="1:20" s="5" customFormat="1" ht="20" x14ac:dyDescent="0.25">
      <c r="A11" s="35"/>
      <c r="B11" s="36" t="s">
        <v>23</v>
      </c>
      <c r="C11" s="37">
        <v>565.41</v>
      </c>
      <c r="D11" s="45">
        <v>0</v>
      </c>
      <c r="E11" s="39">
        <f t="shared" ref="E11:E21" si="0">D11/C11</f>
        <v>0</v>
      </c>
      <c r="F11" s="118"/>
      <c r="G11" s="118"/>
      <c r="H11" s="121"/>
      <c r="I11" s="40"/>
      <c r="J11" s="41"/>
      <c r="K11" s="19"/>
      <c r="L11" s="19"/>
      <c r="M11" s="20"/>
      <c r="N11" s="42"/>
      <c r="O11" s="43"/>
      <c r="P11" s="43"/>
      <c r="Q11" s="42"/>
      <c r="R11" s="46"/>
      <c r="S11" s="33"/>
      <c r="T11" s="32"/>
    </row>
    <row r="12" spans="1:20" s="5" customFormat="1" ht="20" x14ac:dyDescent="0.25">
      <c r="A12" s="35"/>
      <c r="B12" s="36" t="s">
        <v>24</v>
      </c>
      <c r="C12" s="37">
        <v>739.63</v>
      </c>
      <c r="D12" s="38">
        <v>27.54</v>
      </c>
      <c r="E12" s="39">
        <f t="shared" si="0"/>
        <v>3.7234833633032732E-2</v>
      </c>
      <c r="F12" s="118"/>
      <c r="G12" s="118"/>
      <c r="H12" s="121"/>
      <c r="I12" s="40"/>
      <c r="J12" s="41"/>
      <c r="K12" s="19"/>
      <c r="L12" s="19"/>
      <c r="M12" s="20"/>
      <c r="N12" s="42"/>
      <c r="O12" s="43"/>
      <c r="P12" s="43"/>
      <c r="Q12" s="42"/>
      <c r="R12" s="46"/>
      <c r="S12" s="33"/>
      <c r="T12" s="32"/>
    </row>
    <row r="13" spans="1:20" s="5" customFormat="1" ht="20" x14ac:dyDescent="0.25">
      <c r="A13" s="35"/>
      <c r="B13" s="36" t="s">
        <v>25</v>
      </c>
      <c r="C13" s="37">
        <v>12.48</v>
      </c>
      <c r="D13" s="38">
        <v>0</v>
      </c>
      <c r="E13" s="39">
        <f t="shared" si="0"/>
        <v>0</v>
      </c>
      <c r="F13" s="118"/>
      <c r="G13" s="118"/>
      <c r="H13" s="121"/>
      <c r="I13" s="40"/>
      <c r="J13" s="41"/>
      <c r="K13" s="19"/>
      <c r="L13" s="19"/>
      <c r="M13" s="20"/>
      <c r="N13" s="42"/>
      <c r="O13" s="43"/>
      <c r="P13" s="43"/>
      <c r="Q13" s="42"/>
      <c r="R13" s="32"/>
      <c r="S13" s="33"/>
      <c r="T13" s="32"/>
    </row>
    <row r="14" spans="1:20" s="5" customFormat="1" ht="20" x14ac:dyDescent="0.25">
      <c r="A14" s="35"/>
      <c r="B14" s="36" t="s">
        <v>26</v>
      </c>
      <c r="C14" s="37">
        <v>6.65</v>
      </c>
      <c r="D14" s="38">
        <v>0</v>
      </c>
      <c r="E14" s="39">
        <f t="shared" si="0"/>
        <v>0</v>
      </c>
      <c r="F14" s="118"/>
      <c r="G14" s="118"/>
      <c r="H14" s="121"/>
      <c r="I14" s="40"/>
      <c r="J14" s="41"/>
      <c r="K14" s="19"/>
      <c r="L14" s="19"/>
      <c r="M14" s="20"/>
      <c r="N14" s="42"/>
      <c r="O14" s="43"/>
      <c r="P14" s="43"/>
      <c r="Q14" s="42"/>
      <c r="R14" s="32"/>
      <c r="S14" s="33"/>
      <c r="T14" s="32"/>
    </row>
    <row r="15" spans="1:20" s="5" customFormat="1" ht="20" x14ac:dyDescent="0.25">
      <c r="A15" s="35"/>
      <c r="B15" s="36" t="s">
        <v>27</v>
      </c>
      <c r="C15" s="37">
        <v>0</v>
      </c>
      <c r="D15" s="38">
        <v>0</v>
      </c>
      <c r="E15" s="39" t="e">
        <f t="shared" si="0"/>
        <v>#DIV/0!</v>
      </c>
      <c r="F15" s="118"/>
      <c r="G15" s="118"/>
      <c r="H15" s="121"/>
      <c r="I15" s="40"/>
      <c r="J15" s="47"/>
      <c r="K15" s="19"/>
      <c r="L15" s="19"/>
      <c r="M15" s="20"/>
      <c r="N15" s="42"/>
      <c r="O15" s="43"/>
      <c r="P15" s="43"/>
      <c r="Q15" s="42"/>
      <c r="R15" s="32"/>
      <c r="S15" s="33"/>
      <c r="T15" s="32"/>
    </row>
    <row r="16" spans="1:20" s="5" customFormat="1" ht="20" x14ac:dyDescent="0.25">
      <c r="A16" s="35"/>
      <c r="B16" s="36" t="s">
        <v>28</v>
      </c>
      <c r="C16" s="37">
        <v>112.66</v>
      </c>
      <c r="D16" s="38">
        <v>0</v>
      </c>
      <c r="E16" s="39">
        <f t="shared" si="0"/>
        <v>0</v>
      </c>
      <c r="F16" s="118"/>
      <c r="G16" s="118"/>
      <c r="H16" s="121"/>
      <c r="I16" s="40"/>
      <c r="J16" s="41"/>
      <c r="K16" s="19"/>
      <c r="L16" s="19"/>
      <c r="M16" s="20"/>
      <c r="N16" s="42"/>
      <c r="O16" s="43"/>
      <c r="P16" s="43"/>
      <c r="Q16" s="42"/>
      <c r="R16" s="32"/>
      <c r="S16" s="33"/>
      <c r="T16" s="32"/>
    </row>
    <row r="17" spans="1:29" s="5" customFormat="1" ht="20" x14ac:dyDescent="0.25">
      <c r="A17" s="35"/>
      <c r="B17" s="36" t="s">
        <v>29</v>
      </c>
      <c r="C17" s="37"/>
      <c r="D17" s="38"/>
      <c r="E17" s="39" t="e">
        <f t="shared" si="0"/>
        <v>#DIV/0!</v>
      </c>
      <c r="F17" s="118"/>
      <c r="G17" s="118"/>
      <c r="H17" s="121"/>
      <c r="I17" s="40"/>
      <c r="J17" s="41"/>
      <c r="K17" s="19"/>
      <c r="L17" s="19"/>
      <c r="M17" s="20"/>
      <c r="N17" s="42"/>
      <c r="O17" s="43"/>
      <c r="P17" s="43"/>
      <c r="Q17" s="42"/>
      <c r="R17" s="32"/>
      <c r="S17" s="33"/>
      <c r="T17" s="32"/>
    </row>
    <row r="18" spans="1:29" s="5" customFormat="1" ht="20" x14ac:dyDescent="0.25">
      <c r="A18" s="35"/>
      <c r="B18" s="36" t="s">
        <v>30</v>
      </c>
      <c r="C18" s="37"/>
      <c r="D18" s="38"/>
      <c r="E18" s="39" t="e">
        <f t="shared" si="0"/>
        <v>#DIV/0!</v>
      </c>
      <c r="F18" s="118"/>
      <c r="G18" s="118"/>
      <c r="H18" s="121"/>
      <c r="I18" s="40"/>
      <c r="J18" s="41"/>
      <c r="K18" s="19"/>
      <c r="L18" s="19"/>
      <c r="M18" s="20"/>
      <c r="N18" s="42"/>
      <c r="O18" s="43"/>
      <c r="P18" s="43"/>
      <c r="Q18" s="42"/>
      <c r="R18" s="32"/>
      <c r="S18" s="33"/>
      <c r="T18" s="32"/>
    </row>
    <row r="19" spans="1:29" s="5" customFormat="1" ht="20" x14ac:dyDescent="0.25">
      <c r="A19" s="35"/>
      <c r="B19" s="36" t="s">
        <v>31</v>
      </c>
      <c r="C19" s="37"/>
      <c r="D19" s="38"/>
      <c r="E19" s="39" t="e">
        <f t="shared" si="0"/>
        <v>#DIV/0!</v>
      </c>
      <c r="F19" s="118"/>
      <c r="G19" s="118"/>
      <c r="H19" s="121"/>
      <c r="I19" s="40"/>
      <c r="J19" s="41"/>
      <c r="K19" s="19"/>
      <c r="L19" s="19"/>
      <c r="M19" s="20"/>
      <c r="N19" s="42"/>
      <c r="O19" s="43"/>
      <c r="P19" s="43"/>
      <c r="Q19" s="42"/>
      <c r="R19" s="32"/>
      <c r="S19" s="33"/>
      <c r="T19" s="32"/>
    </row>
    <row r="20" spans="1:29" s="5" customFormat="1" ht="20" x14ac:dyDescent="0.25">
      <c r="A20" s="35"/>
      <c r="B20" s="36" t="s">
        <v>32</v>
      </c>
      <c r="C20" s="37"/>
      <c r="D20" s="38"/>
      <c r="E20" s="39" t="e">
        <f t="shared" si="0"/>
        <v>#DIV/0!</v>
      </c>
      <c r="F20" s="118"/>
      <c r="G20" s="118"/>
      <c r="H20" s="121"/>
      <c r="I20" s="40"/>
      <c r="J20" s="41"/>
      <c r="K20" s="19"/>
      <c r="L20" s="19"/>
      <c r="M20" s="20"/>
      <c r="N20" s="42"/>
      <c r="O20" s="43"/>
      <c r="P20" s="43"/>
      <c r="Q20" s="42"/>
      <c r="R20" s="32"/>
      <c r="S20" s="33"/>
      <c r="T20" s="32"/>
    </row>
    <row r="21" spans="1:29" s="5" customFormat="1" ht="20.5" thickBot="1" x14ac:dyDescent="0.3">
      <c r="A21" s="35"/>
      <c r="B21" s="48" t="s">
        <v>33</v>
      </c>
      <c r="C21" s="49"/>
      <c r="D21" s="50"/>
      <c r="E21" s="51" t="e">
        <f t="shared" si="0"/>
        <v>#DIV/0!</v>
      </c>
      <c r="F21" s="119"/>
      <c r="G21" s="119"/>
      <c r="H21" s="122"/>
      <c r="I21" s="52"/>
      <c r="J21" s="53"/>
      <c r="K21" s="54"/>
      <c r="L21" s="54"/>
      <c r="M21" s="55"/>
      <c r="N21" s="56"/>
      <c r="O21" s="57"/>
      <c r="P21" s="43"/>
      <c r="Q21" s="42"/>
      <c r="R21" s="32"/>
      <c r="S21" s="33"/>
      <c r="T21" s="32"/>
    </row>
    <row r="22" spans="1:29" s="5" customFormat="1" ht="13.5" thickBot="1" x14ac:dyDescent="0.3">
      <c r="A22" s="35"/>
      <c r="B22" s="58"/>
      <c r="C22" s="58"/>
      <c r="D22" s="59"/>
      <c r="E22" s="20"/>
      <c r="F22" s="20"/>
      <c r="G22" s="20"/>
      <c r="H22" s="20"/>
      <c r="I22" s="60"/>
      <c r="J22" s="61"/>
      <c r="K22" s="61"/>
      <c r="L22" s="61"/>
      <c r="M22" s="42"/>
      <c r="N22" s="42"/>
      <c r="O22" s="42"/>
      <c r="P22" s="43"/>
      <c r="Q22" s="42"/>
    </row>
    <row r="23" spans="1:29" s="5" customFormat="1" ht="13" x14ac:dyDescent="0.25">
      <c r="A23" s="15"/>
      <c r="B23" s="110" t="s">
        <v>34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2"/>
      <c r="P23" s="13"/>
      <c r="Q23" s="14"/>
    </row>
    <row r="24" spans="1:29" s="5" customFormat="1" ht="28.5" customHeight="1" thickBot="1" x14ac:dyDescent="0.3">
      <c r="A24" s="15"/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5"/>
      <c r="P24" s="13"/>
      <c r="Q24" s="14"/>
      <c r="U24" s="126"/>
      <c r="V24" s="126"/>
      <c r="W24" s="126"/>
      <c r="X24" s="126"/>
      <c r="Y24" s="126"/>
      <c r="Z24" s="126"/>
      <c r="AA24" s="126"/>
      <c r="AB24" s="126"/>
      <c r="AC24" s="126"/>
    </row>
    <row r="25" spans="1:29" s="5" customFormat="1" ht="16" thickBot="1" x14ac:dyDescent="0.3">
      <c r="A25" s="15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20"/>
      <c r="M25" s="14"/>
      <c r="N25" s="14"/>
      <c r="O25" s="14"/>
      <c r="P25" s="13"/>
      <c r="Q25" s="14"/>
      <c r="U25" s="109"/>
      <c r="V25" s="109"/>
      <c r="W25" s="109"/>
      <c r="X25" s="109"/>
      <c r="Y25" s="109"/>
      <c r="Z25" s="109"/>
      <c r="AA25" s="109"/>
      <c r="AB25" s="109"/>
      <c r="AC25" s="109"/>
    </row>
    <row r="26" spans="1:29" s="5" customFormat="1" ht="13" thickBot="1" x14ac:dyDescent="0.3">
      <c r="A26" s="15"/>
      <c r="B26" s="5" t="s">
        <v>35</v>
      </c>
      <c r="D26" s="64" t="s">
        <v>36</v>
      </c>
      <c r="E26" s="5" t="s">
        <v>37</v>
      </c>
      <c r="F26" s="65" t="s">
        <v>38</v>
      </c>
      <c r="H26" s="14" t="s">
        <v>36</v>
      </c>
      <c r="I26" s="5" t="s">
        <v>39</v>
      </c>
      <c r="K26" s="65" t="s">
        <v>40</v>
      </c>
      <c r="L26" s="14" t="s">
        <v>41</v>
      </c>
      <c r="M26" s="14" t="s">
        <v>42</v>
      </c>
      <c r="N26" s="66" t="s">
        <v>43</v>
      </c>
      <c r="O26" s="67"/>
      <c r="P26" s="13"/>
      <c r="Q26" s="14"/>
    </row>
    <row r="27" spans="1:29" s="5" customFormat="1" ht="13" thickBot="1" x14ac:dyDescent="0.3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4"/>
    </row>
    <row r="28" spans="1:29" s="5" customFormat="1" ht="13" x14ac:dyDescent="0.3">
      <c r="A28" s="15"/>
      <c r="B28" s="110" t="s">
        <v>44</v>
      </c>
      <c r="C28" s="111"/>
      <c r="D28" s="111"/>
      <c r="E28" s="111"/>
      <c r="F28" s="111"/>
      <c r="G28" s="111"/>
      <c r="H28" s="111"/>
      <c r="I28" s="111"/>
      <c r="J28" s="111"/>
      <c r="K28" s="112"/>
      <c r="M28" s="113" t="s">
        <v>45</v>
      </c>
      <c r="N28" s="114"/>
      <c r="O28" s="115"/>
      <c r="P28" s="13"/>
      <c r="Q28" s="14"/>
    </row>
    <row r="29" spans="1:29" s="5" customFormat="1" ht="12.5" x14ac:dyDescent="0.25">
      <c r="A29" s="15"/>
      <c r="B29" s="68" t="s">
        <v>46</v>
      </c>
      <c r="C29" s="69"/>
      <c r="D29" s="69"/>
      <c r="E29" s="69"/>
      <c r="F29" s="66" t="s">
        <v>47</v>
      </c>
      <c r="G29" s="66"/>
      <c r="H29" s="69"/>
      <c r="I29" s="69"/>
      <c r="J29" s="14"/>
      <c r="K29" s="70"/>
      <c r="M29" s="116" t="s">
        <v>48</v>
      </c>
      <c r="N29" s="71"/>
      <c r="O29" s="72"/>
      <c r="P29" s="13"/>
      <c r="Q29" s="14"/>
    </row>
    <row r="30" spans="1:29" s="5" customFormat="1" ht="13" x14ac:dyDescent="0.25">
      <c r="A30" s="73"/>
      <c r="B30" s="68" t="s">
        <v>49</v>
      </c>
      <c r="C30" s="74"/>
      <c r="D30" s="74"/>
      <c r="E30" s="74"/>
      <c r="F30" s="66" t="s">
        <v>50</v>
      </c>
      <c r="G30" s="66"/>
      <c r="H30" s="75"/>
      <c r="I30" s="76"/>
      <c r="J30" s="14"/>
      <c r="K30" s="70"/>
      <c r="M30" s="116"/>
      <c r="N30" s="71"/>
      <c r="O30" s="72"/>
      <c r="P30" s="77"/>
      <c r="Q30" s="78"/>
    </row>
    <row r="31" spans="1:29" s="5" customFormat="1" ht="13.5" thickBot="1" x14ac:dyDescent="0.3">
      <c r="A31" s="15"/>
      <c r="B31" s="79"/>
      <c r="C31" s="80"/>
      <c r="D31" s="80"/>
      <c r="E31" s="80"/>
      <c r="F31" s="81"/>
      <c r="G31" s="81"/>
      <c r="H31" s="81"/>
      <c r="I31" s="82"/>
      <c r="J31" s="83"/>
      <c r="K31" s="84"/>
      <c r="M31" s="85" t="s">
        <v>51</v>
      </c>
      <c r="N31" s="86"/>
      <c r="O31" s="87"/>
      <c r="P31" s="13"/>
      <c r="Q31" s="14"/>
    </row>
    <row r="32" spans="1:29" s="5" customFormat="1" ht="13" thickBot="1" x14ac:dyDescent="0.3">
      <c r="A32" s="79"/>
      <c r="B32" s="88"/>
      <c r="C32" s="88"/>
      <c r="D32" s="88"/>
      <c r="E32" s="88"/>
      <c r="F32" s="88"/>
      <c r="G32" s="88"/>
      <c r="H32" s="88"/>
      <c r="I32" s="88"/>
      <c r="J32" s="88"/>
      <c r="K32" s="55"/>
      <c r="L32" s="55"/>
      <c r="M32" s="88"/>
      <c r="N32" s="88"/>
      <c r="O32" s="88"/>
      <c r="P32" s="89"/>
      <c r="Q32" s="14"/>
    </row>
    <row r="33" s="5" customFormat="1" ht="12.5" x14ac:dyDescent="0.25"/>
  </sheetData>
  <mergeCells count="25">
    <mergeCell ref="B5:H5"/>
    <mergeCell ref="I5:J5"/>
    <mergeCell ref="K5:L5"/>
    <mergeCell ref="M5:N5"/>
    <mergeCell ref="D1:M1"/>
    <mergeCell ref="N1:O1"/>
    <mergeCell ref="B2:C4"/>
    <mergeCell ref="D2:N3"/>
    <mergeCell ref="D4:N4"/>
    <mergeCell ref="B6:H6"/>
    <mergeCell ref="I6:J6"/>
    <mergeCell ref="K6:L6"/>
    <mergeCell ref="M6:N6"/>
    <mergeCell ref="B8:H8"/>
    <mergeCell ref="I8:O8"/>
    <mergeCell ref="U25:AC25"/>
    <mergeCell ref="B28:K28"/>
    <mergeCell ref="M28:O28"/>
    <mergeCell ref="M29:M30"/>
    <mergeCell ref="F10:F21"/>
    <mergeCell ref="G10:G21"/>
    <mergeCell ref="H10:H21"/>
    <mergeCell ref="B23:O23"/>
    <mergeCell ref="B24:O24"/>
    <mergeCell ref="U24:AC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C710-6424-4832-8526-894AADAE1496}">
  <sheetPr>
    <tabColor theme="8" tint="0.59999389629810485"/>
  </sheetPr>
  <dimension ref="A1:AC33"/>
  <sheetViews>
    <sheetView topLeftCell="A9" zoomScale="90" zoomScaleNormal="90" workbookViewId="0">
      <selection activeCell="D9" sqref="D9"/>
    </sheetView>
  </sheetViews>
  <sheetFormatPr baseColWidth="10" defaultRowHeight="14.5" x14ac:dyDescent="0.35"/>
  <cols>
    <col min="1" max="1" width="3.1796875" customWidth="1"/>
    <col min="2" max="2" width="13.81640625" customWidth="1"/>
    <col min="3" max="4" width="13.7265625" customWidth="1"/>
    <col min="5" max="5" width="12.453125" customWidth="1"/>
    <col min="6" max="7" width="13.7265625" customWidth="1"/>
    <col min="9" max="10" width="11.7265625" customWidth="1"/>
    <col min="11" max="12" width="12.7265625" customWidth="1"/>
    <col min="13" max="14" width="15.7265625" customWidth="1"/>
    <col min="15" max="15" width="28.1796875" customWidth="1"/>
    <col min="16" max="16" width="3.54296875" customWidth="1"/>
  </cols>
  <sheetData>
    <row r="1" spans="1:20" s="5" customFormat="1" ht="15.5" x14ac:dyDescent="0.25">
      <c r="A1" s="1"/>
      <c r="B1" s="2"/>
      <c r="C1" s="2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2"/>
      <c r="P1" s="3"/>
      <c r="Q1" s="4"/>
    </row>
    <row r="2" spans="1:20" s="5" customFormat="1" ht="15.5" x14ac:dyDescent="0.25">
      <c r="A2" s="6"/>
      <c r="B2" s="133"/>
      <c r="C2" s="133"/>
      <c r="D2" s="133" t="s">
        <v>0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7" t="s">
        <v>1</v>
      </c>
      <c r="P2" s="8"/>
      <c r="Q2" s="4"/>
    </row>
    <row r="3" spans="1:20" s="5" customFormat="1" ht="12.5" x14ac:dyDescent="0.25">
      <c r="A3" s="9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7" t="s">
        <v>2</v>
      </c>
      <c r="P3" s="10"/>
      <c r="Q3" s="4"/>
    </row>
    <row r="4" spans="1:20" s="5" customFormat="1" ht="15.5" x14ac:dyDescent="0.25">
      <c r="A4" s="11"/>
      <c r="B4" s="133"/>
      <c r="C4" s="133"/>
      <c r="D4" s="133" t="s">
        <v>3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2" t="s">
        <v>4</v>
      </c>
      <c r="P4" s="13"/>
      <c r="Q4" s="14"/>
    </row>
    <row r="5" spans="1:20" s="5" customFormat="1" ht="13" x14ac:dyDescent="0.25">
      <c r="A5" s="15"/>
      <c r="B5" s="129" t="s">
        <v>5</v>
      </c>
      <c r="C5" s="129"/>
      <c r="D5" s="129"/>
      <c r="E5" s="129"/>
      <c r="F5" s="129"/>
      <c r="G5" s="129"/>
      <c r="H5" s="129"/>
      <c r="I5" s="129" t="s">
        <v>6</v>
      </c>
      <c r="J5" s="129"/>
      <c r="K5" s="129" t="s">
        <v>7</v>
      </c>
      <c r="L5" s="129"/>
      <c r="M5" s="129" t="s">
        <v>8</v>
      </c>
      <c r="N5" s="129"/>
      <c r="O5" s="16" t="s">
        <v>9</v>
      </c>
      <c r="P5" s="13"/>
      <c r="Q5" s="14"/>
    </row>
    <row r="6" spans="1:20" s="5" customFormat="1" ht="30" x14ac:dyDescent="0.35">
      <c r="A6" s="6"/>
      <c r="B6" s="127" t="s">
        <v>10</v>
      </c>
      <c r="C6" s="127"/>
      <c r="D6" s="127"/>
      <c r="E6" s="127"/>
      <c r="F6" s="127"/>
      <c r="G6" s="127"/>
      <c r="H6" s="127"/>
      <c r="I6" s="127">
        <v>2026</v>
      </c>
      <c r="J6" s="127"/>
      <c r="K6" s="128" t="s">
        <v>11</v>
      </c>
      <c r="L6" s="128"/>
      <c r="M6" s="128"/>
      <c r="N6" s="128"/>
      <c r="O6" s="17" t="s">
        <v>12</v>
      </c>
      <c r="P6" s="18"/>
      <c r="Q6" s="14"/>
    </row>
    <row r="7" spans="1:20" s="5" customFormat="1" ht="13" thickBot="1" x14ac:dyDescent="0.3">
      <c r="A7" s="15"/>
      <c r="B7" s="19"/>
      <c r="C7" s="19"/>
      <c r="D7" s="19"/>
      <c r="E7" s="14"/>
      <c r="F7" s="14"/>
      <c r="G7" s="14"/>
      <c r="H7" s="14"/>
      <c r="I7" s="20"/>
      <c r="J7" s="20"/>
      <c r="K7" s="20"/>
      <c r="L7" s="20"/>
      <c r="M7" s="20"/>
      <c r="N7" s="20"/>
      <c r="O7" s="21"/>
      <c r="P7" s="13"/>
      <c r="Q7" s="14"/>
    </row>
    <row r="8" spans="1:20" s="5" customFormat="1" ht="13.5" thickBot="1" x14ac:dyDescent="0.3">
      <c r="A8" s="15"/>
      <c r="B8" s="110" t="s">
        <v>13</v>
      </c>
      <c r="C8" s="111"/>
      <c r="D8" s="111"/>
      <c r="E8" s="111"/>
      <c r="F8" s="111"/>
      <c r="G8" s="111"/>
      <c r="H8" s="112"/>
      <c r="I8" s="111" t="s">
        <v>14</v>
      </c>
      <c r="J8" s="111"/>
      <c r="K8" s="111"/>
      <c r="L8" s="111"/>
      <c r="M8" s="111"/>
      <c r="N8" s="111"/>
      <c r="O8" s="112"/>
      <c r="P8" s="13"/>
      <c r="Q8" s="14"/>
    </row>
    <row r="9" spans="1:20" s="5" customFormat="1" ht="42" x14ac:dyDescent="0.25">
      <c r="A9" s="15"/>
      <c r="B9" s="22" t="s">
        <v>15</v>
      </c>
      <c r="C9" s="23" t="s">
        <v>16</v>
      </c>
      <c r="D9" s="23" t="s">
        <v>17</v>
      </c>
      <c r="E9" s="24" t="s">
        <v>18</v>
      </c>
      <c r="F9" s="25" t="s">
        <v>19</v>
      </c>
      <c r="G9" s="25" t="s">
        <v>20</v>
      </c>
      <c r="H9" s="26" t="s">
        <v>21</v>
      </c>
      <c r="I9" s="27"/>
      <c r="J9" s="28"/>
      <c r="K9" s="29"/>
      <c r="L9" s="29"/>
      <c r="M9" s="30"/>
      <c r="N9" s="30"/>
      <c r="O9" s="31"/>
      <c r="P9" s="13"/>
      <c r="Q9" s="14"/>
      <c r="R9" s="32"/>
      <c r="S9" s="33"/>
      <c r="T9" s="34"/>
    </row>
    <row r="10" spans="1:20" s="5" customFormat="1" ht="20" x14ac:dyDescent="0.25">
      <c r="A10" s="35"/>
      <c r="B10" s="36" t="s">
        <v>22</v>
      </c>
      <c r="C10" s="37">
        <v>748</v>
      </c>
      <c r="D10" s="38">
        <v>219</v>
      </c>
      <c r="E10" s="39">
        <f>D10/C10</f>
        <v>0.29278074866310161</v>
      </c>
      <c r="F10" s="117">
        <f>SUM(C10:C21)</f>
        <v>5423.08</v>
      </c>
      <c r="G10" s="117">
        <f>SUM(D10:D21)</f>
        <v>1235.23</v>
      </c>
      <c r="H10" s="120">
        <f>G10/F10</f>
        <v>0.22777277856863629</v>
      </c>
      <c r="I10" s="40"/>
      <c r="J10" s="41"/>
      <c r="K10" s="19"/>
      <c r="L10" s="19"/>
      <c r="M10" s="20"/>
      <c r="N10" s="42"/>
      <c r="O10" s="43"/>
      <c r="P10" s="43"/>
      <c r="Q10" s="42"/>
      <c r="R10" s="44"/>
      <c r="S10" s="33"/>
      <c r="T10" s="32"/>
    </row>
    <row r="11" spans="1:20" s="5" customFormat="1" ht="20" x14ac:dyDescent="0.25">
      <c r="A11" s="35"/>
      <c r="B11" s="36" t="s">
        <v>23</v>
      </c>
      <c r="C11" s="37">
        <v>1197</v>
      </c>
      <c r="D11" s="45">
        <v>344</v>
      </c>
      <c r="E11" s="39">
        <f t="shared" ref="E11:E21" si="0">D11/C11</f>
        <v>0.28738512949039263</v>
      </c>
      <c r="F11" s="118"/>
      <c r="G11" s="118"/>
      <c r="H11" s="121"/>
      <c r="I11" s="40"/>
      <c r="J11" s="41"/>
      <c r="K11" s="19"/>
      <c r="L11" s="19"/>
      <c r="M11" s="20"/>
      <c r="N11" s="42"/>
      <c r="O11" s="43"/>
      <c r="P11" s="43"/>
      <c r="Q11" s="42"/>
      <c r="R11" s="46"/>
      <c r="S11" s="33"/>
      <c r="T11" s="32"/>
    </row>
    <row r="12" spans="1:20" s="5" customFormat="1" ht="20" x14ac:dyDescent="0.25">
      <c r="A12" s="35"/>
      <c r="B12" s="36" t="s">
        <v>24</v>
      </c>
      <c r="C12" s="37">
        <v>0.63</v>
      </c>
      <c r="D12" s="38">
        <v>0</v>
      </c>
      <c r="E12" s="39">
        <f t="shared" si="0"/>
        <v>0</v>
      </c>
      <c r="F12" s="118"/>
      <c r="G12" s="118"/>
      <c r="H12" s="121"/>
      <c r="I12" s="40"/>
      <c r="J12" s="41"/>
      <c r="K12" s="19"/>
      <c r="L12" s="19"/>
      <c r="M12" s="20"/>
      <c r="N12" s="42"/>
      <c r="O12" s="43"/>
      <c r="P12" s="43"/>
      <c r="Q12" s="42"/>
      <c r="R12" s="46"/>
      <c r="S12" s="33"/>
      <c r="T12" s="32"/>
    </row>
    <row r="13" spans="1:20" s="5" customFormat="1" ht="20" x14ac:dyDescent="0.25">
      <c r="A13" s="35"/>
      <c r="B13" s="36" t="s">
        <v>25</v>
      </c>
      <c r="C13" s="37">
        <v>268.06</v>
      </c>
      <c r="D13" s="38">
        <v>93.27</v>
      </c>
      <c r="E13" s="39">
        <f t="shared" si="0"/>
        <v>0.34794449003954336</v>
      </c>
      <c r="F13" s="118"/>
      <c r="G13" s="118"/>
      <c r="H13" s="121"/>
      <c r="I13" s="40"/>
      <c r="J13" s="41"/>
      <c r="K13" s="19"/>
      <c r="L13" s="19"/>
      <c r="M13" s="20"/>
      <c r="N13" s="42"/>
      <c r="O13" s="43"/>
      <c r="P13" s="43"/>
      <c r="Q13" s="42"/>
      <c r="R13" s="32"/>
      <c r="S13" s="33"/>
      <c r="T13" s="32"/>
    </row>
    <row r="14" spans="1:20" s="5" customFormat="1" ht="20" x14ac:dyDescent="0.25">
      <c r="A14" s="35"/>
      <c r="B14" s="36" t="s">
        <v>26</v>
      </c>
      <c r="C14" s="37">
        <v>788.19</v>
      </c>
      <c r="D14" s="38">
        <v>216.08</v>
      </c>
      <c r="E14" s="39">
        <f t="shared" si="0"/>
        <v>0.27414709651226227</v>
      </c>
      <c r="F14" s="118"/>
      <c r="G14" s="118"/>
      <c r="H14" s="121"/>
      <c r="I14" s="40"/>
      <c r="J14" s="41"/>
      <c r="K14" s="19"/>
      <c r="L14" s="19"/>
      <c r="M14" s="20"/>
      <c r="N14" s="42"/>
      <c r="O14" s="43"/>
      <c r="P14" s="43"/>
      <c r="Q14" s="42"/>
      <c r="R14" s="32"/>
      <c r="S14" s="33"/>
      <c r="T14" s="32"/>
    </row>
    <row r="15" spans="1:20" s="5" customFormat="1" ht="20" x14ac:dyDescent="0.25">
      <c r="A15" s="35"/>
      <c r="B15" s="36" t="s">
        <v>27</v>
      </c>
      <c r="C15" s="37">
        <v>1255.0999999999999</v>
      </c>
      <c r="D15" s="38">
        <v>131.27000000000001</v>
      </c>
      <c r="E15" s="39">
        <f t="shared" si="0"/>
        <v>0.10458927575491994</v>
      </c>
      <c r="F15" s="118"/>
      <c r="G15" s="118"/>
      <c r="H15" s="121"/>
      <c r="I15" s="40"/>
      <c r="J15" s="47"/>
      <c r="K15" s="19"/>
      <c r="L15" s="19"/>
      <c r="M15" s="20"/>
      <c r="N15" s="42"/>
      <c r="O15" s="43"/>
      <c r="P15" s="43"/>
      <c r="Q15" s="42"/>
      <c r="R15" s="32"/>
      <c r="S15" s="33"/>
      <c r="T15" s="32"/>
    </row>
    <row r="16" spans="1:20" s="5" customFormat="1" ht="20" x14ac:dyDescent="0.25">
      <c r="A16" s="35"/>
      <c r="B16" s="36" t="s">
        <v>28</v>
      </c>
      <c r="C16" s="37">
        <v>1166.0999999999999</v>
      </c>
      <c r="D16" s="38">
        <v>231.61</v>
      </c>
      <c r="E16" s="39">
        <f t="shared" si="0"/>
        <v>0.1986193293885602</v>
      </c>
      <c r="F16" s="118"/>
      <c r="G16" s="118"/>
      <c r="H16" s="121"/>
      <c r="I16" s="40"/>
      <c r="J16" s="41"/>
      <c r="K16" s="19"/>
      <c r="L16" s="19"/>
      <c r="M16" s="20"/>
      <c r="N16" s="42"/>
      <c r="O16" s="43"/>
      <c r="P16" s="43"/>
      <c r="Q16" s="42"/>
      <c r="R16" s="32"/>
      <c r="S16" s="33"/>
      <c r="T16" s="32"/>
    </row>
    <row r="17" spans="1:29" s="5" customFormat="1" ht="20" x14ac:dyDescent="0.25">
      <c r="A17" s="35"/>
      <c r="B17" s="36" t="s">
        <v>29</v>
      </c>
      <c r="C17" s="37"/>
      <c r="D17" s="38"/>
      <c r="E17" s="39" t="e">
        <f t="shared" si="0"/>
        <v>#DIV/0!</v>
      </c>
      <c r="F17" s="118"/>
      <c r="G17" s="118"/>
      <c r="H17" s="121"/>
      <c r="I17" s="40"/>
      <c r="J17" s="41"/>
      <c r="K17" s="19"/>
      <c r="L17" s="19"/>
      <c r="M17" s="20"/>
      <c r="N17" s="42"/>
      <c r="O17" s="43"/>
      <c r="P17" s="43"/>
      <c r="Q17" s="42"/>
      <c r="R17" s="32"/>
      <c r="S17" s="33"/>
      <c r="T17" s="32"/>
    </row>
    <row r="18" spans="1:29" s="5" customFormat="1" ht="20" x14ac:dyDescent="0.25">
      <c r="A18" s="35"/>
      <c r="B18" s="36" t="s">
        <v>30</v>
      </c>
      <c r="C18" s="37"/>
      <c r="D18" s="38"/>
      <c r="E18" s="39" t="e">
        <f t="shared" si="0"/>
        <v>#DIV/0!</v>
      </c>
      <c r="F18" s="118"/>
      <c r="G18" s="118"/>
      <c r="H18" s="121"/>
      <c r="I18" s="40"/>
      <c r="J18" s="41"/>
      <c r="K18" s="19"/>
      <c r="L18" s="19"/>
      <c r="M18" s="20"/>
      <c r="N18" s="42"/>
      <c r="O18" s="43"/>
      <c r="P18" s="43"/>
      <c r="Q18" s="42"/>
      <c r="R18" s="32"/>
      <c r="S18" s="33"/>
      <c r="T18" s="32"/>
    </row>
    <row r="19" spans="1:29" s="5" customFormat="1" ht="20" x14ac:dyDescent="0.25">
      <c r="A19" s="35"/>
      <c r="B19" s="36" t="s">
        <v>31</v>
      </c>
      <c r="C19" s="37"/>
      <c r="D19" s="38"/>
      <c r="E19" s="39" t="e">
        <f t="shared" si="0"/>
        <v>#DIV/0!</v>
      </c>
      <c r="F19" s="118"/>
      <c r="G19" s="118"/>
      <c r="H19" s="121"/>
      <c r="I19" s="40"/>
      <c r="J19" s="41"/>
      <c r="K19" s="19"/>
      <c r="L19" s="19"/>
      <c r="M19" s="20"/>
      <c r="N19" s="42"/>
      <c r="O19" s="43"/>
      <c r="P19" s="43"/>
      <c r="Q19" s="42"/>
      <c r="R19" s="32"/>
      <c r="S19" s="33"/>
      <c r="T19" s="32"/>
    </row>
    <row r="20" spans="1:29" s="5" customFormat="1" ht="20" x14ac:dyDescent="0.25">
      <c r="A20" s="35"/>
      <c r="B20" s="36" t="s">
        <v>32</v>
      </c>
      <c r="C20" s="37"/>
      <c r="D20" s="38"/>
      <c r="E20" s="39" t="e">
        <f t="shared" si="0"/>
        <v>#DIV/0!</v>
      </c>
      <c r="F20" s="118"/>
      <c r="G20" s="118"/>
      <c r="H20" s="121"/>
      <c r="I20" s="40"/>
      <c r="J20" s="41"/>
      <c r="K20" s="19"/>
      <c r="L20" s="19"/>
      <c r="M20" s="20"/>
      <c r="N20" s="42"/>
      <c r="O20" s="43"/>
      <c r="P20" s="43"/>
      <c r="Q20" s="42"/>
      <c r="R20" s="32"/>
      <c r="S20" s="33"/>
      <c r="T20" s="32"/>
    </row>
    <row r="21" spans="1:29" s="5" customFormat="1" ht="20.5" thickBot="1" x14ac:dyDescent="0.3">
      <c r="A21" s="35"/>
      <c r="B21" s="48" t="s">
        <v>33</v>
      </c>
      <c r="C21" s="49"/>
      <c r="D21" s="50"/>
      <c r="E21" s="51" t="e">
        <f t="shared" si="0"/>
        <v>#DIV/0!</v>
      </c>
      <c r="F21" s="119"/>
      <c r="G21" s="119"/>
      <c r="H21" s="122"/>
      <c r="I21" s="52"/>
      <c r="J21" s="53"/>
      <c r="K21" s="54"/>
      <c r="L21" s="54"/>
      <c r="M21" s="55"/>
      <c r="N21" s="56"/>
      <c r="O21" s="57"/>
      <c r="P21" s="43"/>
      <c r="Q21" s="42"/>
      <c r="R21" s="32"/>
      <c r="S21" s="33"/>
      <c r="T21" s="32"/>
    </row>
    <row r="22" spans="1:29" s="5" customFormat="1" ht="13.5" thickBot="1" x14ac:dyDescent="0.3">
      <c r="A22" s="35"/>
      <c r="B22" s="58"/>
      <c r="C22" s="58"/>
      <c r="D22" s="59"/>
      <c r="E22" s="20"/>
      <c r="F22" s="20"/>
      <c r="G22" s="20"/>
      <c r="H22" s="20"/>
      <c r="I22" s="60"/>
      <c r="J22" s="61"/>
      <c r="K22" s="61"/>
      <c r="L22" s="61"/>
      <c r="M22" s="42"/>
      <c r="N22" s="42"/>
      <c r="O22" s="42"/>
      <c r="P22" s="43"/>
      <c r="Q22" s="42"/>
    </row>
    <row r="23" spans="1:29" s="5" customFormat="1" ht="13" x14ac:dyDescent="0.25">
      <c r="A23" s="15"/>
      <c r="B23" s="110" t="s">
        <v>34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2"/>
      <c r="P23" s="13"/>
      <c r="Q23" s="14"/>
    </row>
    <row r="24" spans="1:29" s="5" customFormat="1" ht="27.75" customHeight="1" thickBot="1" x14ac:dyDescent="0.3">
      <c r="A24" s="15"/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5"/>
      <c r="P24" s="13"/>
      <c r="Q24" s="14"/>
      <c r="U24" s="126"/>
      <c r="V24" s="126"/>
      <c r="W24" s="126"/>
      <c r="X24" s="126"/>
      <c r="Y24" s="126"/>
      <c r="Z24" s="126"/>
      <c r="AA24" s="126"/>
      <c r="AB24" s="126"/>
      <c r="AC24" s="126"/>
    </row>
    <row r="25" spans="1:29" s="5" customFormat="1" ht="16" thickBot="1" x14ac:dyDescent="0.3">
      <c r="A25" s="15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20"/>
      <c r="M25" s="14"/>
      <c r="N25" s="14"/>
      <c r="O25" s="14"/>
      <c r="P25" s="13"/>
      <c r="Q25" s="14"/>
      <c r="U25" s="109"/>
      <c r="V25" s="109"/>
      <c r="W25" s="109"/>
      <c r="X25" s="109"/>
      <c r="Y25" s="109"/>
      <c r="Z25" s="109"/>
      <c r="AA25" s="109"/>
      <c r="AB25" s="109"/>
      <c r="AC25" s="109"/>
    </row>
    <row r="26" spans="1:29" s="5" customFormat="1" ht="13" thickBot="1" x14ac:dyDescent="0.3">
      <c r="A26" s="15"/>
      <c r="B26" s="5" t="s">
        <v>35</v>
      </c>
      <c r="D26" s="64" t="s">
        <v>36</v>
      </c>
      <c r="E26" s="5" t="s">
        <v>37</v>
      </c>
      <c r="F26" s="65" t="s">
        <v>38</v>
      </c>
      <c r="H26" s="14" t="s">
        <v>36</v>
      </c>
      <c r="I26" s="5" t="s">
        <v>39</v>
      </c>
      <c r="K26" s="65" t="s">
        <v>40</v>
      </c>
      <c r="L26" s="14" t="s">
        <v>41</v>
      </c>
      <c r="M26" s="14" t="s">
        <v>42</v>
      </c>
      <c r="N26" s="66" t="s">
        <v>43</v>
      </c>
      <c r="O26" s="67"/>
      <c r="P26" s="13"/>
      <c r="Q26" s="14"/>
    </row>
    <row r="27" spans="1:29" s="5" customFormat="1" ht="13" thickBot="1" x14ac:dyDescent="0.3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4"/>
    </row>
    <row r="28" spans="1:29" s="5" customFormat="1" ht="13" x14ac:dyDescent="0.3">
      <c r="A28" s="15"/>
      <c r="B28" s="110" t="s">
        <v>44</v>
      </c>
      <c r="C28" s="111"/>
      <c r="D28" s="111"/>
      <c r="E28" s="111"/>
      <c r="F28" s="111"/>
      <c r="G28" s="111"/>
      <c r="H28" s="111"/>
      <c r="I28" s="111"/>
      <c r="J28" s="111"/>
      <c r="K28" s="112"/>
      <c r="M28" s="113" t="s">
        <v>45</v>
      </c>
      <c r="N28" s="114"/>
      <c r="O28" s="115"/>
      <c r="P28" s="13"/>
      <c r="Q28" s="14"/>
    </row>
    <row r="29" spans="1:29" s="5" customFormat="1" ht="12.5" x14ac:dyDescent="0.25">
      <c r="A29" s="15"/>
      <c r="B29" s="68" t="s">
        <v>46</v>
      </c>
      <c r="C29" s="69"/>
      <c r="D29" s="69"/>
      <c r="E29" s="69"/>
      <c r="F29" s="66" t="s">
        <v>47</v>
      </c>
      <c r="G29" s="66"/>
      <c r="H29" s="69"/>
      <c r="I29" s="69"/>
      <c r="J29" s="14"/>
      <c r="K29" s="70"/>
      <c r="M29" s="116" t="s">
        <v>48</v>
      </c>
      <c r="N29" s="71"/>
      <c r="O29" s="72"/>
      <c r="P29" s="13"/>
      <c r="Q29" s="14"/>
    </row>
    <row r="30" spans="1:29" s="5" customFormat="1" ht="13" x14ac:dyDescent="0.25">
      <c r="A30" s="73"/>
      <c r="B30" s="68" t="s">
        <v>49</v>
      </c>
      <c r="C30" s="74"/>
      <c r="D30" s="74"/>
      <c r="E30" s="74"/>
      <c r="F30" s="66" t="s">
        <v>50</v>
      </c>
      <c r="G30" s="66"/>
      <c r="H30" s="75"/>
      <c r="I30" s="76"/>
      <c r="J30" s="14"/>
      <c r="K30" s="70"/>
      <c r="M30" s="116"/>
      <c r="N30" s="71"/>
      <c r="O30" s="72"/>
      <c r="P30" s="77"/>
      <c r="Q30" s="78"/>
    </row>
    <row r="31" spans="1:29" s="5" customFormat="1" ht="13.5" thickBot="1" x14ac:dyDescent="0.3">
      <c r="A31" s="15"/>
      <c r="B31" s="79"/>
      <c r="C31" s="80"/>
      <c r="D31" s="80"/>
      <c r="E31" s="80"/>
      <c r="F31" s="81"/>
      <c r="G31" s="81"/>
      <c r="H31" s="81"/>
      <c r="I31" s="82"/>
      <c r="J31" s="83"/>
      <c r="K31" s="84"/>
      <c r="M31" s="85" t="s">
        <v>51</v>
      </c>
      <c r="N31" s="86"/>
      <c r="O31" s="87"/>
      <c r="P31" s="13"/>
      <c r="Q31" s="14"/>
    </row>
    <row r="32" spans="1:29" s="5" customFormat="1" ht="13" thickBot="1" x14ac:dyDescent="0.3">
      <c r="A32" s="79"/>
      <c r="B32" s="88"/>
      <c r="C32" s="88"/>
      <c r="D32" s="88"/>
      <c r="E32" s="88"/>
      <c r="F32" s="88"/>
      <c r="G32" s="88"/>
      <c r="H32" s="88"/>
      <c r="I32" s="88"/>
      <c r="J32" s="88"/>
      <c r="K32" s="55"/>
      <c r="L32" s="55"/>
      <c r="M32" s="88"/>
      <c r="N32" s="88"/>
      <c r="O32" s="88"/>
      <c r="P32" s="89"/>
      <c r="Q32" s="14"/>
    </row>
    <row r="33" s="5" customFormat="1" ht="12.5" x14ac:dyDescent="0.25"/>
  </sheetData>
  <mergeCells count="25">
    <mergeCell ref="B5:H5"/>
    <mergeCell ref="I5:J5"/>
    <mergeCell ref="K5:L5"/>
    <mergeCell ref="M5:N5"/>
    <mergeCell ref="D1:M1"/>
    <mergeCell ref="N1:O1"/>
    <mergeCell ref="B2:C4"/>
    <mergeCell ref="D2:N3"/>
    <mergeCell ref="D4:N4"/>
    <mergeCell ref="B6:H6"/>
    <mergeCell ref="I6:J6"/>
    <mergeCell ref="K6:L6"/>
    <mergeCell ref="M6:N6"/>
    <mergeCell ref="B8:H8"/>
    <mergeCell ref="I8:O8"/>
    <mergeCell ref="U25:AC25"/>
    <mergeCell ref="B28:K28"/>
    <mergeCell ref="M28:O28"/>
    <mergeCell ref="M29:M30"/>
    <mergeCell ref="F10:F21"/>
    <mergeCell ref="G10:G21"/>
    <mergeCell ref="H10:H21"/>
    <mergeCell ref="B23:O23"/>
    <mergeCell ref="B24:O24"/>
    <mergeCell ref="U24:AC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D9E9-0F29-4AAA-AF34-B43F85D3CABD}">
  <sheetPr>
    <tabColor theme="0" tint="-0.14999847407452621"/>
  </sheetPr>
  <dimension ref="A1:AC33"/>
  <sheetViews>
    <sheetView topLeftCell="A7" zoomScale="90" zoomScaleNormal="90" workbookViewId="0">
      <selection activeCell="C16" sqref="C16"/>
    </sheetView>
  </sheetViews>
  <sheetFormatPr baseColWidth="10" defaultRowHeight="14.5" x14ac:dyDescent="0.35"/>
  <cols>
    <col min="1" max="1" width="3.1796875" customWidth="1"/>
    <col min="2" max="2" width="13.81640625" customWidth="1"/>
    <col min="3" max="4" width="13.7265625" customWidth="1"/>
    <col min="5" max="5" width="12.453125" customWidth="1"/>
    <col min="6" max="7" width="13.7265625" customWidth="1"/>
    <col min="9" max="10" width="11.7265625" customWidth="1"/>
    <col min="11" max="12" width="12.7265625" customWidth="1"/>
    <col min="13" max="14" width="15.7265625" customWidth="1"/>
    <col min="15" max="15" width="28.1796875" customWidth="1"/>
    <col min="16" max="16" width="3.54296875" customWidth="1"/>
  </cols>
  <sheetData>
    <row r="1" spans="1:20" s="5" customFormat="1" ht="15.5" x14ac:dyDescent="0.25">
      <c r="A1" s="1"/>
      <c r="B1" s="2"/>
      <c r="C1" s="2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2"/>
      <c r="P1" s="3"/>
      <c r="Q1" s="4"/>
    </row>
    <row r="2" spans="1:20" s="5" customFormat="1" ht="15.5" x14ac:dyDescent="0.25">
      <c r="A2" s="6"/>
      <c r="B2" s="133"/>
      <c r="C2" s="133"/>
      <c r="D2" s="133" t="s">
        <v>0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7" t="s">
        <v>1</v>
      </c>
      <c r="P2" s="8"/>
      <c r="Q2" s="4"/>
    </row>
    <row r="3" spans="1:20" s="5" customFormat="1" ht="12.5" x14ac:dyDescent="0.25">
      <c r="A3" s="9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7" t="s">
        <v>2</v>
      </c>
      <c r="P3" s="10"/>
      <c r="Q3" s="4"/>
    </row>
    <row r="4" spans="1:20" s="5" customFormat="1" ht="15.5" x14ac:dyDescent="0.25">
      <c r="A4" s="11"/>
      <c r="B4" s="133"/>
      <c r="C4" s="133"/>
      <c r="D4" s="133" t="s">
        <v>3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2" t="s">
        <v>4</v>
      </c>
      <c r="P4" s="13"/>
      <c r="Q4" s="14"/>
    </row>
    <row r="5" spans="1:20" s="5" customFormat="1" ht="13" x14ac:dyDescent="0.25">
      <c r="A5" s="15"/>
      <c r="B5" s="129" t="s">
        <v>5</v>
      </c>
      <c r="C5" s="129"/>
      <c r="D5" s="129"/>
      <c r="E5" s="129"/>
      <c r="F5" s="129"/>
      <c r="G5" s="129"/>
      <c r="H5" s="129"/>
      <c r="I5" s="129" t="s">
        <v>6</v>
      </c>
      <c r="J5" s="129"/>
      <c r="K5" s="129" t="s">
        <v>7</v>
      </c>
      <c r="L5" s="129"/>
      <c r="M5" s="129" t="s">
        <v>8</v>
      </c>
      <c r="N5" s="129"/>
      <c r="O5" s="16" t="s">
        <v>9</v>
      </c>
      <c r="P5" s="13"/>
      <c r="Q5" s="14"/>
    </row>
    <row r="6" spans="1:20" s="5" customFormat="1" ht="30" x14ac:dyDescent="0.35">
      <c r="A6" s="6"/>
      <c r="B6" s="127" t="s">
        <v>10</v>
      </c>
      <c r="C6" s="127"/>
      <c r="D6" s="127"/>
      <c r="E6" s="127"/>
      <c r="F6" s="127"/>
      <c r="G6" s="127"/>
      <c r="H6" s="127"/>
      <c r="I6" s="127">
        <v>2026</v>
      </c>
      <c r="J6" s="127"/>
      <c r="K6" s="128" t="s">
        <v>11</v>
      </c>
      <c r="L6" s="128"/>
      <c r="M6" s="128"/>
      <c r="N6" s="128"/>
      <c r="O6" s="17" t="s">
        <v>12</v>
      </c>
      <c r="P6" s="18"/>
      <c r="Q6" s="14"/>
    </row>
    <row r="7" spans="1:20" s="5" customFormat="1" ht="13" thickBot="1" x14ac:dyDescent="0.3">
      <c r="A7" s="15"/>
      <c r="B7" s="19"/>
      <c r="C7" s="19"/>
      <c r="D7" s="19"/>
      <c r="E7" s="14"/>
      <c r="F7" s="14"/>
      <c r="G7" s="14"/>
      <c r="H7" s="14"/>
      <c r="I7" s="20"/>
      <c r="J7" s="20"/>
      <c r="K7" s="20"/>
      <c r="L7" s="20"/>
      <c r="M7" s="20"/>
      <c r="N7" s="20"/>
      <c r="O7" s="21"/>
      <c r="P7" s="13"/>
      <c r="Q7" s="14"/>
    </row>
    <row r="8" spans="1:20" s="5" customFormat="1" ht="13.5" thickBot="1" x14ac:dyDescent="0.3">
      <c r="A8" s="15"/>
      <c r="B8" s="110" t="s">
        <v>13</v>
      </c>
      <c r="C8" s="111"/>
      <c r="D8" s="111"/>
      <c r="E8" s="111"/>
      <c r="F8" s="111"/>
      <c r="G8" s="111"/>
      <c r="H8" s="112"/>
      <c r="I8" s="111" t="s">
        <v>14</v>
      </c>
      <c r="J8" s="111"/>
      <c r="K8" s="111"/>
      <c r="L8" s="111"/>
      <c r="M8" s="111"/>
      <c r="N8" s="111"/>
      <c r="O8" s="112"/>
      <c r="P8" s="13"/>
      <c r="Q8" s="14"/>
    </row>
    <row r="9" spans="1:20" s="5" customFormat="1" ht="42" x14ac:dyDescent="0.25">
      <c r="A9" s="15"/>
      <c r="B9" s="22" t="s">
        <v>15</v>
      </c>
      <c r="C9" s="23" t="s">
        <v>16</v>
      </c>
      <c r="D9" s="23" t="s">
        <v>17</v>
      </c>
      <c r="E9" s="24" t="s">
        <v>18</v>
      </c>
      <c r="F9" s="25" t="s">
        <v>19</v>
      </c>
      <c r="G9" s="25" t="s">
        <v>20</v>
      </c>
      <c r="H9" s="26" t="s">
        <v>21</v>
      </c>
      <c r="I9" s="27"/>
      <c r="J9" s="28"/>
      <c r="K9" s="29"/>
      <c r="L9" s="29"/>
      <c r="M9" s="30"/>
      <c r="N9" s="30"/>
      <c r="O9" s="31"/>
      <c r="P9" s="13"/>
      <c r="Q9" s="14"/>
      <c r="R9" s="32"/>
      <c r="S9" s="33"/>
      <c r="T9" s="34"/>
    </row>
    <row r="10" spans="1:20" s="5" customFormat="1" ht="20" x14ac:dyDescent="0.25">
      <c r="A10" s="35"/>
      <c r="B10" s="36" t="s">
        <v>22</v>
      </c>
      <c r="C10" s="37">
        <v>237</v>
      </c>
      <c r="D10" s="38">
        <v>0</v>
      </c>
      <c r="E10" s="39">
        <f>D10/C10</f>
        <v>0</v>
      </c>
      <c r="F10" s="117">
        <f>SUM(C10:C21)</f>
        <v>3279.53</v>
      </c>
      <c r="G10" s="117">
        <f>SUM(D10:D21)</f>
        <v>0</v>
      </c>
      <c r="H10" s="120">
        <f>G10/F10</f>
        <v>0</v>
      </c>
      <c r="I10" s="40"/>
      <c r="J10" s="41"/>
      <c r="K10" s="19"/>
      <c r="L10" s="19"/>
      <c r="M10" s="20"/>
      <c r="N10" s="42"/>
      <c r="O10" s="43"/>
      <c r="P10" s="43"/>
      <c r="Q10" s="42"/>
      <c r="R10" s="44"/>
      <c r="S10" s="33"/>
      <c r="T10" s="32"/>
    </row>
    <row r="11" spans="1:20" s="5" customFormat="1" ht="20" x14ac:dyDescent="0.25">
      <c r="A11" s="35"/>
      <c r="B11" s="36" t="s">
        <v>23</v>
      </c>
      <c r="C11" s="37">
        <v>488.14</v>
      </c>
      <c r="D11" s="45">
        <v>0</v>
      </c>
      <c r="E11" s="39">
        <f t="shared" ref="E11:E21" si="0">D11/C11</f>
        <v>0</v>
      </c>
      <c r="F11" s="118"/>
      <c r="G11" s="118"/>
      <c r="H11" s="121"/>
      <c r="I11" s="40"/>
      <c r="J11" s="41"/>
      <c r="K11" s="19"/>
      <c r="L11" s="19"/>
      <c r="M11" s="20"/>
      <c r="N11" s="42"/>
      <c r="O11" s="43"/>
      <c r="P11" s="43"/>
      <c r="Q11" s="42"/>
      <c r="R11" s="46"/>
      <c r="S11" s="33"/>
      <c r="T11" s="32"/>
    </row>
    <row r="12" spans="1:20" s="5" customFormat="1" ht="20" x14ac:dyDescent="0.25">
      <c r="A12" s="35"/>
      <c r="B12" s="36" t="s">
        <v>24</v>
      </c>
      <c r="C12" s="37">
        <v>1021.86</v>
      </c>
      <c r="D12" s="38">
        <v>0</v>
      </c>
      <c r="E12" s="39">
        <f t="shared" si="0"/>
        <v>0</v>
      </c>
      <c r="F12" s="118"/>
      <c r="G12" s="118"/>
      <c r="H12" s="121"/>
      <c r="I12" s="40"/>
      <c r="J12" s="41"/>
      <c r="K12" s="19"/>
      <c r="L12" s="19"/>
      <c r="M12" s="20"/>
      <c r="N12" s="42"/>
      <c r="O12" s="43"/>
      <c r="P12" s="43"/>
      <c r="Q12" s="42"/>
      <c r="R12" s="46"/>
      <c r="S12" s="33"/>
      <c r="T12" s="32"/>
    </row>
    <row r="13" spans="1:20" s="5" customFormat="1" ht="20" x14ac:dyDescent="0.25">
      <c r="A13" s="35"/>
      <c r="B13" s="36" t="s">
        <v>25</v>
      </c>
      <c r="C13" s="37">
        <v>562</v>
      </c>
      <c r="D13" s="38">
        <v>0</v>
      </c>
      <c r="E13" s="39">
        <f t="shared" si="0"/>
        <v>0</v>
      </c>
      <c r="F13" s="118"/>
      <c r="G13" s="118"/>
      <c r="H13" s="121"/>
      <c r="I13" s="40"/>
      <c r="J13" s="41"/>
      <c r="K13" s="19"/>
      <c r="L13" s="19"/>
      <c r="M13" s="20"/>
      <c r="N13" s="42"/>
      <c r="O13" s="43"/>
      <c r="P13" s="43"/>
      <c r="Q13" s="42"/>
      <c r="R13" s="32"/>
      <c r="S13" s="33"/>
      <c r="T13" s="32"/>
    </row>
    <row r="14" spans="1:20" s="5" customFormat="1" ht="20" x14ac:dyDescent="0.25">
      <c r="A14" s="35"/>
      <c r="B14" s="36" t="s">
        <v>26</v>
      </c>
      <c r="C14" s="37">
        <v>449.26</v>
      </c>
      <c r="D14" s="38">
        <v>0</v>
      </c>
      <c r="E14" s="39">
        <f t="shared" si="0"/>
        <v>0</v>
      </c>
      <c r="F14" s="118"/>
      <c r="G14" s="118"/>
      <c r="H14" s="121"/>
      <c r="I14" s="40"/>
      <c r="J14" s="41"/>
      <c r="K14" s="19"/>
      <c r="L14" s="19"/>
      <c r="M14" s="20"/>
      <c r="N14" s="42"/>
      <c r="O14" s="43"/>
      <c r="P14" s="43"/>
      <c r="Q14" s="42"/>
      <c r="R14" s="32"/>
      <c r="S14" s="33"/>
      <c r="T14" s="32"/>
    </row>
    <row r="15" spans="1:20" s="5" customFormat="1" ht="20" x14ac:dyDescent="0.25">
      <c r="A15" s="35"/>
      <c r="B15" s="36" t="s">
        <v>27</v>
      </c>
      <c r="C15" s="37">
        <v>58.88</v>
      </c>
      <c r="D15" s="38">
        <v>0</v>
      </c>
      <c r="E15" s="39">
        <f t="shared" si="0"/>
        <v>0</v>
      </c>
      <c r="F15" s="118"/>
      <c r="G15" s="118"/>
      <c r="H15" s="121"/>
      <c r="I15" s="40"/>
      <c r="J15" s="47"/>
      <c r="K15" s="19"/>
      <c r="L15" s="19"/>
      <c r="M15" s="20"/>
      <c r="N15" s="42"/>
      <c r="O15" s="43"/>
      <c r="P15" s="43"/>
      <c r="Q15" s="42"/>
      <c r="R15" s="32"/>
      <c r="S15" s="33"/>
      <c r="T15" s="32"/>
    </row>
    <row r="16" spans="1:20" s="5" customFormat="1" ht="20" x14ac:dyDescent="0.25">
      <c r="A16" s="35"/>
      <c r="B16" s="36" t="s">
        <v>28</v>
      </c>
      <c r="C16" s="37">
        <v>462.39</v>
      </c>
      <c r="D16" s="38">
        <v>0</v>
      </c>
      <c r="E16" s="39">
        <f t="shared" si="0"/>
        <v>0</v>
      </c>
      <c r="F16" s="118"/>
      <c r="G16" s="118"/>
      <c r="H16" s="121"/>
      <c r="I16" s="40"/>
      <c r="J16" s="41"/>
      <c r="K16" s="19"/>
      <c r="L16" s="19"/>
      <c r="M16" s="20"/>
      <c r="N16" s="42"/>
      <c r="O16" s="43"/>
      <c r="P16" s="43"/>
      <c r="Q16" s="42"/>
      <c r="R16" s="32"/>
      <c r="S16" s="33"/>
      <c r="T16" s="32"/>
    </row>
    <row r="17" spans="1:29" s="5" customFormat="1" ht="20" x14ac:dyDescent="0.25">
      <c r="A17" s="35"/>
      <c r="B17" s="36" t="s">
        <v>29</v>
      </c>
      <c r="C17" s="37"/>
      <c r="D17" s="38"/>
      <c r="E17" s="39" t="e">
        <f t="shared" si="0"/>
        <v>#DIV/0!</v>
      </c>
      <c r="F17" s="118"/>
      <c r="G17" s="118"/>
      <c r="H17" s="121"/>
      <c r="I17" s="40"/>
      <c r="J17" s="41"/>
      <c r="K17" s="19"/>
      <c r="L17" s="19"/>
      <c r="M17" s="20"/>
      <c r="N17" s="42"/>
      <c r="O17" s="43"/>
      <c r="P17" s="43"/>
      <c r="Q17" s="42"/>
      <c r="R17" s="32"/>
      <c r="S17" s="33"/>
      <c r="T17" s="32"/>
    </row>
    <row r="18" spans="1:29" s="5" customFormat="1" ht="20" x14ac:dyDescent="0.25">
      <c r="A18" s="35"/>
      <c r="B18" s="36" t="s">
        <v>30</v>
      </c>
      <c r="C18" s="37"/>
      <c r="D18" s="38"/>
      <c r="E18" s="39" t="e">
        <f t="shared" si="0"/>
        <v>#DIV/0!</v>
      </c>
      <c r="F18" s="118"/>
      <c r="G18" s="118"/>
      <c r="H18" s="121"/>
      <c r="I18" s="40"/>
      <c r="J18" s="41"/>
      <c r="K18" s="19"/>
      <c r="L18" s="19"/>
      <c r="M18" s="20"/>
      <c r="N18" s="42"/>
      <c r="O18" s="43"/>
      <c r="P18" s="43"/>
      <c r="Q18" s="42"/>
      <c r="R18" s="32"/>
      <c r="S18" s="33"/>
      <c r="T18" s="32"/>
    </row>
    <row r="19" spans="1:29" s="5" customFormat="1" ht="20" x14ac:dyDescent="0.25">
      <c r="A19" s="35"/>
      <c r="B19" s="36" t="s">
        <v>31</v>
      </c>
      <c r="C19" s="37"/>
      <c r="D19" s="38"/>
      <c r="E19" s="39" t="e">
        <f t="shared" si="0"/>
        <v>#DIV/0!</v>
      </c>
      <c r="F19" s="118"/>
      <c r="G19" s="118"/>
      <c r="H19" s="121"/>
      <c r="I19" s="40"/>
      <c r="J19" s="41"/>
      <c r="K19" s="19"/>
      <c r="L19" s="19"/>
      <c r="M19" s="20"/>
      <c r="N19" s="42"/>
      <c r="O19" s="43"/>
      <c r="P19" s="43"/>
      <c r="Q19" s="42"/>
      <c r="R19" s="32"/>
      <c r="S19" s="33"/>
      <c r="T19" s="32"/>
    </row>
    <row r="20" spans="1:29" s="5" customFormat="1" ht="20" x14ac:dyDescent="0.25">
      <c r="A20" s="35"/>
      <c r="B20" s="36" t="s">
        <v>32</v>
      </c>
      <c r="C20" s="37"/>
      <c r="D20" s="38"/>
      <c r="E20" s="39" t="e">
        <f t="shared" si="0"/>
        <v>#DIV/0!</v>
      </c>
      <c r="F20" s="118"/>
      <c r="G20" s="118"/>
      <c r="H20" s="121"/>
      <c r="I20" s="40"/>
      <c r="J20" s="41"/>
      <c r="K20" s="19"/>
      <c r="L20" s="19"/>
      <c r="M20" s="20"/>
      <c r="N20" s="42"/>
      <c r="O20" s="43"/>
      <c r="P20" s="43"/>
      <c r="Q20" s="42"/>
      <c r="R20" s="32"/>
      <c r="S20" s="33"/>
      <c r="T20" s="32"/>
    </row>
    <row r="21" spans="1:29" s="5" customFormat="1" ht="20.5" thickBot="1" x14ac:dyDescent="0.3">
      <c r="A21" s="35"/>
      <c r="B21" s="48" t="s">
        <v>33</v>
      </c>
      <c r="C21" s="49"/>
      <c r="D21" s="50"/>
      <c r="E21" s="51" t="e">
        <f t="shared" si="0"/>
        <v>#DIV/0!</v>
      </c>
      <c r="F21" s="119"/>
      <c r="G21" s="119"/>
      <c r="H21" s="122"/>
      <c r="I21" s="52"/>
      <c r="J21" s="53"/>
      <c r="K21" s="54"/>
      <c r="L21" s="54"/>
      <c r="M21" s="55"/>
      <c r="N21" s="56"/>
      <c r="O21" s="57"/>
      <c r="P21" s="43"/>
      <c r="Q21" s="42"/>
      <c r="R21" s="32"/>
      <c r="S21" s="33"/>
      <c r="T21" s="32"/>
    </row>
    <row r="22" spans="1:29" s="5" customFormat="1" ht="13.5" thickBot="1" x14ac:dyDescent="0.3">
      <c r="A22" s="35"/>
      <c r="B22" s="58"/>
      <c r="C22" s="58"/>
      <c r="D22" s="59"/>
      <c r="E22" s="20"/>
      <c r="F22" s="20"/>
      <c r="G22" s="20"/>
      <c r="H22" s="20"/>
      <c r="I22" s="60"/>
      <c r="J22" s="61"/>
      <c r="K22" s="61"/>
      <c r="L22" s="61"/>
      <c r="M22" s="42"/>
      <c r="N22" s="42"/>
      <c r="O22" s="42"/>
      <c r="P22" s="43"/>
      <c r="Q22" s="42"/>
    </row>
    <row r="23" spans="1:29" s="5" customFormat="1" ht="13" x14ac:dyDescent="0.25">
      <c r="A23" s="15"/>
      <c r="B23" s="110" t="s">
        <v>34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2"/>
      <c r="P23" s="13"/>
      <c r="Q23" s="14"/>
    </row>
    <row r="24" spans="1:29" s="5" customFormat="1" ht="34.5" customHeight="1" thickBot="1" x14ac:dyDescent="0.3">
      <c r="A24" s="15"/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5"/>
      <c r="P24" s="13"/>
      <c r="Q24" s="14"/>
      <c r="U24" s="126"/>
      <c r="V24" s="126"/>
      <c r="W24" s="126"/>
      <c r="X24" s="126"/>
      <c r="Y24" s="126"/>
      <c r="Z24" s="126"/>
      <c r="AA24" s="126"/>
      <c r="AB24" s="126"/>
      <c r="AC24" s="126"/>
    </row>
    <row r="25" spans="1:29" s="5" customFormat="1" ht="16" thickBot="1" x14ac:dyDescent="0.3">
      <c r="A25" s="15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20"/>
      <c r="M25" s="14"/>
      <c r="N25" s="14"/>
      <c r="O25" s="14"/>
      <c r="P25" s="13"/>
      <c r="Q25" s="14"/>
      <c r="U25" s="109"/>
      <c r="V25" s="109"/>
      <c r="W25" s="109"/>
      <c r="X25" s="109"/>
      <c r="Y25" s="109"/>
      <c r="Z25" s="109"/>
      <c r="AA25" s="109"/>
      <c r="AB25" s="109"/>
      <c r="AC25" s="109"/>
    </row>
    <row r="26" spans="1:29" s="5" customFormat="1" ht="13" thickBot="1" x14ac:dyDescent="0.3">
      <c r="A26" s="15"/>
      <c r="B26" s="5" t="s">
        <v>35</v>
      </c>
      <c r="D26" s="64" t="s">
        <v>36</v>
      </c>
      <c r="E26" s="5" t="s">
        <v>37</v>
      </c>
      <c r="F26" s="65" t="s">
        <v>38</v>
      </c>
      <c r="H26" s="14" t="s">
        <v>36</v>
      </c>
      <c r="I26" s="5" t="s">
        <v>39</v>
      </c>
      <c r="K26" s="65" t="s">
        <v>40</v>
      </c>
      <c r="L26" s="14" t="s">
        <v>41</v>
      </c>
      <c r="M26" s="14" t="s">
        <v>42</v>
      </c>
      <c r="N26" s="66" t="s">
        <v>43</v>
      </c>
      <c r="O26" s="67"/>
      <c r="P26" s="13"/>
      <c r="Q26" s="14"/>
    </row>
    <row r="27" spans="1:29" s="5" customFormat="1" ht="13" thickBot="1" x14ac:dyDescent="0.3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4"/>
    </row>
    <row r="28" spans="1:29" s="5" customFormat="1" ht="13" x14ac:dyDescent="0.3">
      <c r="A28" s="15"/>
      <c r="B28" s="110" t="s">
        <v>44</v>
      </c>
      <c r="C28" s="111"/>
      <c r="D28" s="111"/>
      <c r="E28" s="111"/>
      <c r="F28" s="111"/>
      <c r="G28" s="111"/>
      <c r="H28" s="111"/>
      <c r="I28" s="111"/>
      <c r="J28" s="111"/>
      <c r="K28" s="112"/>
      <c r="M28" s="113" t="s">
        <v>45</v>
      </c>
      <c r="N28" s="114"/>
      <c r="O28" s="115"/>
      <c r="P28" s="13"/>
      <c r="Q28" s="14"/>
    </row>
    <row r="29" spans="1:29" s="5" customFormat="1" ht="12.5" x14ac:dyDescent="0.25">
      <c r="A29" s="15"/>
      <c r="B29" s="68" t="s">
        <v>46</v>
      </c>
      <c r="C29" s="69"/>
      <c r="D29" s="69"/>
      <c r="E29" s="69"/>
      <c r="F29" s="66" t="s">
        <v>47</v>
      </c>
      <c r="G29" s="66"/>
      <c r="H29" s="69"/>
      <c r="I29" s="69"/>
      <c r="J29" s="14"/>
      <c r="K29" s="70"/>
      <c r="M29" s="116" t="s">
        <v>48</v>
      </c>
      <c r="N29" s="71"/>
      <c r="O29" s="72"/>
      <c r="P29" s="13"/>
      <c r="Q29" s="14"/>
    </row>
    <row r="30" spans="1:29" s="5" customFormat="1" ht="13" x14ac:dyDescent="0.25">
      <c r="A30" s="73"/>
      <c r="B30" s="68" t="s">
        <v>49</v>
      </c>
      <c r="C30" s="74"/>
      <c r="D30" s="74"/>
      <c r="E30" s="74"/>
      <c r="F30" s="66" t="s">
        <v>50</v>
      </c>
      <c r="G30" s="66"/>
      <c r="H30" s="75"/>
      <c r="I30" s="76"/>
      <c r="J30" s="14"/>
      <c r="K30" s="70"/>
      <c r="M30" s="116"/>
      <c r="N30" s="71"/>
      <c r="O30" s="72"/>
      <c r="P30" s="77"/>
      <c r="Q30" s="78"/>
    </row>
    <row r="31" spans="1:29" s="5" customFormat="1" ht="13.5" thickBot="1" x14ac:dyDescent="0.3">
      <c r="A31" s="15"/>
      <c r="B31" s="79"/>
      <c r="C31" s="80"/>
      <c r="D31" s="80"/>
      <c r="E31" s="80"/>
      <c r="F31" s="81"/>
      <c r="G31" s="81"/>
      <c r="H31" s="81"/>
      <c r="I31" s="82"/>
      <c r="J31" s="83"/>
      <c r="K31" s="84"/>
      <c r="M31" s="85" t="s">
        <v>51</v>
      </c>
      <c r="N31" s="86"/>
      <c r="O31" s="87"/>
      <c r="P31" s="13"/>
      <c r="Q31" s="14"/>
    </row>
    <row r="32" spans="1:29" s="5" customFormat="1" ht="13" thickBot="1" x14ac:dyDescent="0.3">
      <c r="A32" s="79"/>
      <c r="B32" s="88"/>
      <c r="C32" s="88"/>
      <c r="D32" s="88"/>
      <c r="E32" s="88"/>
      <c r="F32" s="88"/>
      <c r="G32" s="88"/>
      <c r="H32" s="88"/>
      <c r="I32" s="88"/>
      <c r="J32" s="88"/>
      <c r="K32" s="55"/>
      <c r="L32" s="55"/>
      <c r="M32" s="88"/>
      <c r="N32" s="88"/>
      <c r="O32" s="88"/>
      <c r="P32" s="89"/>
      <c r="Q32" s="14"/>
    </row>
    <row r="33" s="5" customFormat="1" ht="12.5" x14ac:dyDescent="0.25"/>
  </sheetData>
  <mergeCells count="25">
    <mergeCell ref="B5:H5"/>
    <mergeCell ref="I5:J5"/>
    <mergeCell ref="K5:L5"/>
    <mergeCell ref="M5:N5"/>
    <mergeCell ref="D1:M1"/>
    <mergeCell ref="N1:O1"/>
    <mergeCell ref="B2:C4"/>
    <mergeCell ref="D2:N3"/>
    <mergeCell ref="D4:N4"/>
    <mergeCell ref="B6:H6"/>
    <mergeCell ref="I6:J6"/>
    <mergeCell ref="K6:L6"/>
    <mergeCell ref="M6:N6"/>
    <mergeCell ref="B8:H8"/>
    <mergeCell ref="I8:O8"/>
    <mergeCell ref="U25:AC25"/>
    <mergeCell ref="B28:K28"/>
    <mergeCell ref="M28:O28"/>
    <mergeCell ref="M29:M30"/>
    <mergeCell ref="F10:F21"/>
    <mergeCell ref="G10:G21"/>
    <mergeCell ref="H10:H21"/>
    <mergeCell ref="B23:O23"/>
    <mergeCell ref="B24:O24"/>
    <mergeCell ref="U24:AC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F6A6-8ED2-48BC-BFC4-ABF9C4BF025A}">
  <dimension ref="B2:I4"/>
  <sheetViews>
    <sheetView workbookViewId="0">
      <selection activeCell="J24" sqref="J24"/>
    </sheetView>
  </sheetViews>
  <sheetFormatPr baseColWidth="10" defaultRowHeight="14.5" x14ac:dyDescent="0.35"/>
  <cols>
    <col min="2" max="2" width="17.1796875" customWidth="1"/>
    <col min="3" max="3" width="17.1796875" style="90" customWidth="1"/>
    <col min="4" max="4" width="15.54296875" style="90" customWidth="1"/>
    <col min="5" max="7" width="11.453125" style="90"/>
  </cols>
  <sheetData>
    <row r="2" spans="2:9" x14ac:dyDescent="0.35">
      <c r="B2" s="134" t="s">
        <v>57</v>
      </c>
      <c r="C2" s="94" t="s">
        <v>53</v>
      </c>
      <c r="D2" s="97" t="s">
        <v>60</v>
      </c>
      <c r="E2" s="100" t="s">
        <v>54</v>
      </c>
      <c r="F2" s="103" t="s">
        <v>55</v>
      </c>
      <c r="G2" s="106" t="s">
        <v>56</v>
      </c>
      <c r="I2" s="91" t="s">
        <v>58</v>
      </c>
    </row>
    <row r="3" spans="2:9" x14ac:dyDescent="0.35">
      <c r="B3" s="135"/>
      <c r="C3" s="95" t="s">
        <v>52</v>
      </c>
      <c r="D3" s="98" t="s">
        <v>52</v>
      </c>
      <c r="E3" s="101" t="s">
        <v>52</v>
      </c>
      <c r="F3" s="104" t="s">
        <v>52</v>
      </c>
      <c r="G3" s="107" t="s">
        <v>52</v>
      </c>
      <c r="I3" s="92" t="s">
        <v>59</v>
      </c>
    </row>
    <row r="4" spans="2:9" x14ac:dyDescent="0.35">
      <c r="B4" s="136"/>
      <c r="C4" s="96">
        <f>SUM('GSM 875'!C10:C21)</f>
        <v>12046.02</v>
      </c>
      <c r="D4" s="99">
        <f>SUM('OQF240'!C10:C21)</f>
        <v>579.41999999999996</v>
      </c>
      <c r="E4" s="102">
        <f>SUM('UVM365'!C10:C21)</f>
        <v>3188.3</v>
      </c>
      <c r="F4" s="105">
        <f>SUM('HCQ911'!C10:C21)</f>
        <v>5423.08</v>
      </c>
      <c r="G4" s="108">
        <f>SUM('SKB422'!C10:C21)</f>
        <v>3279.53</v>
      </c>
      <c r="I4" s="93">
        <f>SUM(C4:G4)</f>
        <v>24516.35</v>
      </c>
    </row>
  </sheetData>
  <mergeCells count="1">
    <mergeCell ref="B2:B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GSM 875</vt:lpstr>
      <vt:lpstr>OQF240</vt:lpstr>
      <vt:lpstr>UVM365</vt:lpstr>
      <vt:lpstr>HCQ911</vt:lpstr>
      <vt:lpstr>SKB422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CAROLINA SANDOVAL TORRES</dc:creator>
  <cp:lastModifiedBy>ANGIE CAROLINA SANDOVAL TORRES</cp:lastModifiedBy>
  <dcterms:created xsi:type="dcterms:W3CDTF">2026-01-30T14:06:43Z</dcterms:created>
  <dcterms:modified xsi:type="dcterms:W3CDTF">2026-08-27T21:44:59Z</dcterms:modified>
</cp:coreProperties>
</file>